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ntarios" sheetId="1" state="visible" r:id="rId1"/>
    <sheet xmlns:r="http://schemas.openxmlformats.org/officeDocument/2006/relationships" name="Resumen Pareto" sheetId="2" state="visible" r:id="rId2"/>
    <sheet xmlns:r="http://schemas.openxmlformats.org/officeDocument/2006/relationships" name="Ley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1" customWidth="1" min="4" max="4"/>
    <col width="9" customWidth="1" min="5" max="5"/>
    <col width="20" customWidth="1" min="6" max="6"/>
    <col width="15" customWidth="1" min="7" max="7"/>
    <col width="20" customWidth="1" min="8" max="8"/>
    <col width="20" customWidth="1" min="9" max="9"/>
    <col width="80" customWidth="1" min="10" max="10"/>
    <col width="70" customWidth="1" min="11" max="11"/>
  </cols>
  <sheetData>
    <row r="1">
      <c r="A1" s="1" t="inlineStr">
        <is>
          <t>Verbalizaciones sinteticas de clientes  |  Caso ETF Bank (P 16 C 03)  |  Base R2</t>
        </is>
      </c>
    </row>
    <row r="2">
      <c r="A2" s="2" t="inlineStr">
        <is>
          <t>Cada comentario esta anclado a un registro real de la hoja MX CAMPUS del archivo R2_MX_ETF_Bank_Causal_Analysis_MBA.xlsx. La columna Evidencia no debe entregarse a los participantes.</t>
        </is>
      </c>
    </row>
    <row r="4">
      <c r="A4" s="3" t="inlineStr">
        <is>
          <t>ID</t>
        </is>
      </c>
      <c r="B4" s="3" t="inlineStr">
        <is>
          <t>Solicitud #</t>
        </is>
      </c>
      <c r="C4" s="3" t="inlineStr">
        <is>
          <t>Estado</t>
        </is>
      </c>
      <c r="D4" s="3" t="inlineStr">
        <is>
          <t>Sucursal #</t>
        </is>
      </c>
      <c r="E4" s="3" t="inlineStr">
        <is>
          <t>Intentos</t>
        </is>
      </c>
      <c r="F4" s="3" t="inlineStr">
        <is>
          <t>Canal de captacion</t>
        </is>
      </c>
      <c r="G4" s="3" t="inlineStr">
        <is>
          <t>Fecha del comentario</t>
        </is>
      </c>
      <c r="H4" s="3" t="inlineStr">
        <is>
          <t>Categoria primaria</t>
        </is>
      </c>
      <c r="I4" s="3" t="inlineStr">
        <is>
          <t>Categoria secundaria</t>
        </is>
      </c>
      <c r="J4" s="3" t="inlineStr">
        <is>
          <t>Comentario del cliente</t>
        </is>
      </c>
      <c r="K4" s="3" t="inlineStr">
        <is>
          <t>Evidencia en la base R2</t>
        </is>
      </c>
    </row>
    <row r="5">
      <c r="A5" s="4" t="inlineStr">
        <is>
          <t>C-001</t>
        </is>
      </c>
      <c r="B5" s="4" t="n">
        <v>1040</v>
      </c>
      <c r="C5" s="4" t="inlineStr">
        <is>
          <t>D.F.</t>
        </is>
      </c>
      <c r="D5" s="4" t="n">
        <v>413</v>
      </c>
      <c r="E5" s="4" t="n">
        <v>3</v>
      </c>
      <c r="F5" s="4" t="inlineStr">
        <is>
          <t>Redes sociales</t>
        </is>
      </c>
      <c r="G5" s="4" t="inlineStr">
        <is>
          <t>2015-06-07</t>
        </is>
      </c>
      <c r="H5" s="4" t="inlineStr">
        <is>
          <t>Reproceso documental</t>
        </is>
      </c>
      <c r="I5" s="4" t="inlineStr">
        <is>
          <t>Tiempo de ciclo</t>
        </is>
      </c>
      <c r="J5" s="4" t="inlineStr">
        <is>
          <t>Entregue todo lo que me pidieron y aun asi hubo 3 rondas de correcciones. Es desgastante.</t>
        </is>
      </c>
      <c r="K5" s="4" t="inlineStr">
        <is>
          <t>3 intentos. Errores: 1 captura, 1 incompletos, 0 ilegibles. Ventana de captura 64 dias. Estatus: Card Sent. Sucursal 413.</t>
        </is>
      </c>
    </row>
    <row r="6">
      <c r="A6" s="4" t="inlineStr">
        <is>
          <t>C-002</t>
        </is>
      </c>
      <c r="B6" s="4" t="n">
        <v>555</v>
      </c>
      <c r="C6" s="4" t="inlineStr">
        <is>
          <t>Edo Mex</t>
        </is>
      </c>
      <c r="D6" s="4" t="n">
        <v>243</v>
      </c>
      <c r="E6" s="4" t="n">
        <v>3</v>
      </c>
      <c r="F6" s="4" t="inlineStr">
        <is>
          <t>Queja escrita</t>
        </is>
      </c>
      <c r="G6" s="4" t="inlineStr">
        <is>
          <t>2014-06-21</t>
        </is>
      </c>
      <c r="H6" s="4" t="inlineStr">
        <is>
          <t>Reproceso documental</t>
        </is>
      </c>
      <c r="I6" s="4" t="inlineStr"/>
      <c r="J6" s="4" t="inlineStr">
        <is>
          <t>Despues de 3 intentos ya perdi la cuenta de cuantas copias de mi identificacion he entregado.</t>
        </is>
      </c>
      <c r="K6" s="4" t="inlineStr">
        <is>
          <t>3 intentos. Errores: 0 captura, 2 incompletos, 0 ilegibles. Ventana de captura 30 dias. Estatus: Bureau Rejected. Sucursal 243.</t>
        </is>
      </c>
    </row>
    <row r="7">
      <c r="A7" s="4" t="inlineStr">
        <is>
          <t>C-003</t>
        </is>
      </c>
      <c r="B7" s="4" t="n">
        <v>1346</v>
      </c>
      <c r="C7" s="4" t="inlineStr">
        <is>
          <t>Jalisco</t>
        </is>
      </c>
      <c r="D7" s="4" t="n">
        <v>453</v>
      </c>
      <c r="E7" s="4" t="n">
        <v>4</v>
      </c>
      <c r="F7" s="4" t="inlineStr">
        <is>
          <t>Llamada a call center</t>
        </is>
      </c>
      <c r="G7" s="4" t="inlineStr">
        <is>
          <t>2015-06-13</t>
        </is>
      </c>
      <c r="H7" s="4" t="inlineStr">
        <is>
          <t>Reproceso documental</t>
        </is>
      </c>
      <c r="I7" s="4" t="inlineStr">
        <is>
          <t>Tiempo de ciclo</t>
        </is>
      </c>
      <c r="J7" s="4" t="inlineStr">
        <is>
          <t>Pedi la tarjeta el 5 de abril. Entre correcciones y papeles faltantes llevo 53 dias esperando.</t>
        </is>
      </c>
      <c r="K7" s="4" t="inlineStr">
        <is>
          <t>4 intentos. Errores: 2 captura, 0 incompletos, 1 ilegibles. Ventana de captura 53 dias. Estatus: Card Sent. Sucursal 453.</t>
        </is>
      </c>
    </row>
    <row r="8">
      <c r="A8" s="4" t="inlineStr">
        <is>
          <t>C-004</t>
        </is>
      </c>
      <c r="B8" s="4" t="n">
        <v>434</v>
      </c>
      <c r="C8" s="4" t="inlineStr">
        <is>
          <t>Edo Mex</t>
        </is>
      </c>
      <c r="D8" s="4" t="n">
        <v>110</v>
      </c>
      <c r="E8" s="4" t="n">
        <v>3</v>
      </c>
      <c r="F8" s="4" t="inlineStr">
        <is>
          <t>Redes sociales</t>
        </is>
      </c>
      <c r="G8" s="4" t="inlineStr">
        <is>
          <t>2014-09-27</t>
        </is>
      </c>
      <c r="H8" s="4" t="inlineStr">
        <is>
          <t>Reproceso documental</t>
        </is>
      </c>
      <c r="I8" s="4" t="inlineStr"/>
      <c r="J8" s="4" t="inlineStr">
        <is>
          <t>Me pidieron documentos incompletos en dos ocasiones distintas, con semanas de diferencia. Si faltaba algo, dimelo desde el principio.</t>
        </is>
      </c>
      <c r="K8" s="4" t="inlineStr">
        <is>
          <t>3 intentos. Errores: 1 captura, 0 incompletos, 1 ilegibles. Ventana de captura 34 dias. Estatus: Bureau Rejected. Sucursal 110.</t>
        </is>
      </c>
    </row>
    <row r="9">
      <c r="A9" s="4" t="inlineStr">
        <is>
          <t>C-005</t>
        </is>
      </c>
      <c r="B9" s="4" t="n">
        <v>1422</v>
      </c>
      <c r="C9" s="4" t="inlineStr">
        <is>
          <t>Edo Mex</t>
        </is>
      </c>
      <c r="D9" s="4" t="n">
        <v>214</v>
      </c>
      <c r="E9" s="4" t="n">
        <v>4</v>
      </c>
      <c r="F9" s="4" t="inlineStr">
        <is>
          <t>Redes sociales</t>
        </is>
      </c>
      <c r="G9" s="4" t="inlineStr">
        <is>
          <t>2015-07-21</t>
        </is>
      </c>
      <c r="H9" s="4" t="inlineStr">
        <is>
          <t>Reproceso documental</t>
        </is>
      </c>
      <c r="I9" s="4" t="inlineStr">
        <is>
          <t>Tiempo de ciclo</t>
        </is>
      </c>
      <c r="J9" s="4" t="inlineStr">
        <is>
          <t>No hay una lista clara de requisitos. Cada ejecutivo pide algo distinto y uno paga el tiempo.</t>
        </is>
      </c>
      <c r="K9" s="4" t="inlineStr">
        <is>
          <t>4 intentos. Errores: 0 captura, 2 incompletos, 1 ilegibles. Ventana de captura 81 dias. Estatus: Score Rejected. Sucursal 214.</t>
        </is>
      </c>
    </row>
    <row r="10">
      <c r="A10" s="4" t="inlineStr">
        <is>
          <t>C-006</t>
        </is>
      </c>
      <c r="B10" s="4" t="n">
        <v>1128</v>
      </c>
      <c r="C10" s="4" t="inlineStr">
        <is>
          <t>Edo Mex</t>
        </is>
      </c>
      <c r="D10" s="4" t="n">
        <v>110</v>
      </c>
      <c r="E10" s="4" t="n">
        <v>4</v>
      </c>
      <c r="F10" s="4" t="inlineStr">
        <is>
          <t>Encuesta post-venta</t>
        </is>
      </c>
      <c r="G10" s="4" t="inlineStr">
        <is>
          <t>2014-10-12</t>
        </is>
      </c>
      <c r="H10" s="4" t="inlineStr">
        <is>
          <t>Reproceso documental</t>
        </is>
      </c>
      <c r="I10" s="4" t="inlineStr">
        <is>
          <t>Tiempo de ciclo</t>
        </is>
      </c>
      <c r="J10" s="4" t="inlineStr">
        <is>
          <t>El ejecutivo me dijo que ya estaba completo y a la semana me volvieron a llamar por lo mismo. Van 4 intentos.</t>
        </is>
      </c>
      <c r="K10" s="4" t="inlineStr">
        <is>
          <t>4 intentos. Errores: 2 captura, 1 incompletos, 0 ilegibles. Ventana de captura 113 dias. Estatus: Score Accepted. Sucursal 110.</t>
        </is>
      </c>
    </row>
    <row r="11">
      <c r="A11" s="4" t="inlineStr">
        <is>
          <t>C-007</t>
        </is>
      </c>
      <c r="B11" s="4" t="n">
        <v>866</v>
      </c>
      <c r="C11" s="4" t="inlineStr">
        <is>
          <t>Sinaloa</t>
        </is>
      </c>
      <c r="D11" s="4" t="n">
        <v>440</v>
      </c>
      <c r="E11" s="4" t="n">
        <v>3</v>
      </c>
      <c r="F11" s="4" t="inlineStr">
        <is>
          <t>Redes sociales</t>
        </is>
      </c>
      <c r="G11" s="4" t="inlineStr">
        <is>
          <t>2015-03-16</t>
        </is>
      </c>
      <c r="H11" s="4" t="inlineStr">
        <is>
          <t>Reproceso documental</t>
        </is>
      </c>
      <c r="I11" s="4" t="inlineStr">
        <is>
          <t>Tiempo de ciclo</t>
        </is>
      </c>
      <c r="J11" s="4" t="inlineStr">
        <is>
          <t>El ejecutivo me dijo que ya estaba completo y a la semana me volvieron a llamar por lo mismo. Van 3 intentos.</t>
        </is>
      </c>
      <c r="K11" s="4" t="inlineStr">
        <is>
          <t>3 intentos. Errores: 1 captura, 1 incompletos, 0 ilegibles. Ventana de captura 63 dias. Estatus: Authorized. Sucursal 440.</t>
        </is>
      </c>
    </row>
    <row r="12">
      <c r="A12" s="4" t="inlineStr">
        <is>
          <t>C-008</t>
        </is>
      </c>
      <c r="B12" s="4" t="n">
        <v>686</v>
      </c>
      <c r="C12" s="4" t="inlineStr">
        <is>
          <t>Jalisco</t>
        </is>
      </c>
      <c r="D12" s="4" t="n">
        <v>728</v>
      </c>
      <c r="E12" s="4" t="n">
        <v>3</v>
      </c>
      <c r="F12" s="4" t="inlineStr">
        <is>
          <t>Redes sociales</t>
        </is>
      </c>
      <c r="G12" s="4" t="inlineStr">
        <is>
          <t>2014-10-01</t>
        </is>
      </c>
      <c r="H12" s="4" t="inlineStr">
        <is>
          <t>Reproceso documental</t>
        </is>
      </c>
      <c r="I12" s="4" t="inlineStr">
        <is>
          <t>Tiempo de ciclo</t>
        </is>
      </c>
      <c r="J12" s="4" t="inlineStr">
        <is>
          <t>El ejecutivo me dijo que ya estaba completo y a la semana me volvieron a llamar por lo mismo. Van 3 intentos.</t>
        </is>
      </c>
      <c r="K12" s="4" t="inlineStr">
        <is>
          <t>3 intentos. Errores: 1 captura, 1 incompletos, 0 ilegibles. Ventana de captura 39 dias. Estatus: Card Sent. Sucursal 728.</t>
        </is>
      </c>
    </row>
    <row r="13">
      <c r="A13" s="4" t="inlineStr">
        <is>
          <t>C-009</t>
        </is>
      </c>
      <c r="B13" s="4" t="n">
        <v>84</v>
      </c>
      <c r="C13" s="4" t="inlineStr">
        <is>
          <t>D.F.</t>
        </is>
      </c>
      <c r="D13" s="4" t="n">
        <v>676</v>
      </c>
      <c r="E13" s="4" t="n">
        <v>3</v>
      </c>
      <c r="F13" s="4" t="inlineStr">
        <is>
          <t>Queja escrita</t>
        </is>
      </c>
      <c r="G13" s="4" t="inlineStr">
        <is>
          <t>2015-11-25</t>
        </is>
      </c>
      <c r="H13" s="4" t="inlineStr">
        <is>
          <t>Reproceso documental</t>
        </is>
      </c>
      <c r="I13" s="4" t="inlineStr">
        <is>
          <t>Tiempo de ciclo</t>
        </is>
      </c>
      <c r="J13" s="4" t="inlineStr">
        <is>
          <t>No hay una lista clara de requisitos. Cada ejecutivo pide algo distinto y uno paga el tiempo.</t>
        </is>
      </c>
      <c r="K13" s="4" t="inlineStr">
        <is>
          <t>3 intentos. Errores: 0 captura, 2 incompletos, 0 ilegibles. Ventana de captura 68 dias. Estatus: Score Accepted. Sucursal 676.</t>
        </is>
      </c>
    </row>
    <row r="14">
      <c r="A14" s="4" t="inlineStr">
        <is>
          <t>C-010</t>
        </is>
      </c>
      <c r="B14" s="4" t="n">
        <v>1165</v>
      </c>
      <c r="C14" s="4" t="inlineStr">
        <is>
          <t>Veracruz</t>
        </is>
      </c>
      <c r="D14" s="4" t="n">
        <v>446</v>
      </c>
      <c r="E14" s="4" t="n">
        <v>3</v>
      </c>
      <c r="F14" s="4" t="inlineStr">
        <is>
          <t>Encuesta post-venta</t>
        </is>
      </c>
      <c r="G14" s="4" t="inlineStr">
        <is>
          <t>2014-07-03</t>
        </is>
      </c>
      <c r="H14" s="4" t="inlineStr">
        <is>
          <t>Reproceso documental</t>
        </is>
      </c>
      <c r="I14" s="4" t="inlineStr"/>
      <c r="J14" s="4" t="inlineStr">
        <is>
          <t>Despues de 3 intentos ya perdi la cuenta de cuantas copias de mi identificacion he entregado.</t>
        </is>
      </c>
      <c r="K14" s="4" t="inlineStr">
        <is>
          <t>3 intentos. Errores: 0 captura, 1 incompletos, 0 ilegibles. Ventana de captura 12 dias. Estatus: Card Sent. Sucursal 446.</t>
        </is>
      </c>
    </row>
    <row r="15">
      <c r="A15" s="4" t="inlineStr">
        <is>
          <t>C-011</t>
        </is>
      </c>
      <c r="B15" s="4" t="n">
        <v>540</v>
      </c>
      <c r="C15" s="4" t="inlineStr">
        <is>
          <t>Edo Mex</t>
        </is>
      </c>
      <c r="D15" s="4" t="n">
        <v>110</v>
      </c>
      <c r="E15" s="4" t="n">
        <v>3</v>
      </c>
      <c r="F15" s="4" t="inlineStr">
        <is>
          <t>Queja escrita</t>
        </is>
      </c>
      <c r="G15" s="4" t="inlineStr">
        <is>
          <t>2015-01-01</t>
        </is>
      </c>
      <c r="H15" s="4" t="inlineStr">
        <is>
          <t>Reproceso documental</t>
        </is>
      </c>
      <c r="I15" s="4" t="inlineStr"/>
      <c r="J15" s="4" t="inlineStr">
        <is>
          <t>No hay una lista clara de requisitos. Cada ejecutivo pide algo distinto y uno paga el tiempo.</t>
        </is>
      </c>
      <c r="K15" s="4" t="inlineStr">
        <is>
          <t>3 intentos. Errores: 0 captura, 2 incompletos, 0 ilegibles. Ventana de captura 22 dias. Estatus: Card Sent. Sucursal 110.</t>
        </is>
      </c>
    </row>
    <row r="16">
      <c r="A16" s="4" t="inlineStr">
        <is>
          <t>C-012</t>
        </is>
      </c>
      <c r="B16" s="4" t="n">
        <v>417</v>
      </c>
      <c r="C16" s="4" t="inlineStr">
        <is>
          <t>Jalisco</t>
        </is>
      </c>
      <c r="D16" s="4" t="n">
        <v>728</v>
      </c>
      <c r="E16" s="4" t="n">
        <v>3</v>
      </c>
      <c r="F16" s="4" t="inlineStr">
        <is>
          <t>Queja escrita</t>
        </is>
      </c>
      <c r="G16" s="4" t="inlineStr">
        <is>
          <t>2014-12-17</t>
        </is>
      </c>
      <c r="H16" s="4" t="inlineStr">
        <is>
          <t>Reproceso documental</t>
        </is>
      </c>
      <c r="I16" s="4" t="inlineStr"/>
      <c r="J16" s="4" t="inlineStr">
        <is>
          <t>Me hicieron volver 3 veces por documentos. Trabajo y cada visita me cuesta medio dia.</t>
        </is>
      </c>
      <c r="K16" s="4" t="inlineStr">
        <is>
          <t>3 intentos. Errores: 1 captura, 1 incompletos, 0 ilegibles. Ventana de captura 2 dias. Estatus: Bureau Rejected. Sucursal 728.</t>
        </is>
      </c>
    </row>
    <row r="17">
      <c r="A17" s="4" t="inlineStr">
        <is>
          <t>C-013</t>
        </is>
      </c>
      <c r="B17" s="4" t="n">
        <v>655</v>
      </c>
      <c r="C17" s="4" t="inlineStr">
        <is>
          <t>Edo Mex</t>
        </is>
      </c>
      <c r="D17" s="4" t="n">
        <v>110</v>
      </c>
      <c r="E17" s="4" t="n">
        <v>4</v>
      </c>
      <c r="F17" s="4" t="inlineStr">
        <is>
          <t>Encuesta post-venta</t>
        </is>
      </c>
      <c r="G17" s="4" t="inlineStr">
        <is>
          <t>2015-10-03</t>
        </is>
      </c>
      <c r="H17" s="4" t="inlineStr">
        <is>
          <t>Reproceso documental</t>
        </is>
      </c>
      <c r="I17" s="4" t="inlineStr">
        <is>
          <t>Tiempo de ciclo</t>
        </is>
      </c>
      <c r="J17" s="4" t="inlineStr">
        <is>
          <t>El ejecutivo me dijo que ya estaba completo y a la semana me volvieron a llamar por lo mismo. Van 4 intentos.</t>
        </is>
      </c>
      <c r="K17" s="4" t="inlineStr">
        <is>
          <t>4 intentos. Errores: 2 captura, 1 incompletos, 0 ilegibles. Ventana de captura 71 dias. Estatus: Score Accepted. Sucursal 110.</t>
        </is>
      </c>
    </row>
    <row r="18">
      <c r="A18" s="4" t="inlineStr">
        <is>
          <t>C-014</t>
        </is>
      </c>
      <c r="B18" s="4" t="n">
        <v>696</v>
      </c>
      <c r="C18" s="4" t="inlineStr">
        <is>
          <t>D.F.</t>
        </is>
      </c>
      <c r="D18" s="4" t="n">
        <v>413</v>
      </c>
      <c r="E18" s="4" t="n">
        <v>3</v>
      </c>
      <c r="F18" s="4" t="inlineStr">
        <is>
          <t>Queja escrita</t>
        </is>
      </c>
      <c r="G18" s="4" t="inlineStr">
        <is>
          <t>2014-09-11</t>
        </is>
      </c>
      <c r="H18" s="4" t="inlineStr">
        <is>
          <t>Reproceso documental</t>
        </is>
      </c>
      <c r="I18" s="4" t="inlineStr">
        <is>
          <t>Tiempo de ciclo</t>
        </is>
      </c>
      <c r="J18" s="4" t="inlineStr">
        <is>
          <t>3 veces me han pedido papeles. Empece el 14 de julio y seguimos igual. Nadie me dice todo lo que falta de una sola vez.</t>
        </is>
      </c>
      <c r="K18" s="4" t="inlineStr">
        <is>
          <t>3 intentos. Errores: 0 captura, 2 incompletos, 0 ilegibles. Ventana de captura 55 dias. Estatus: Bureau Rejected. Sucursal 413.</t>
        </is>
      </c>
    </row>
    <row r="19">
      <c r="A19" s="4" t="inlineStr">
        <is>
          <t>C-015</t>
        </is>
      </c>
      <c r="B19" s="4" t="n">
        <v>804</v>
      </c>
      <c r="C19" s="4" t="inlineStr">
        <is>
          <t>Edo Mex</t>
        </is>
      </c>
      <c r="D19" s="4" t="n">
        <v>692</v>
      </c>
      <c r="E19" s="4" t="n">
        <v>4</v>
      </c>
      <c r="F19" s="4" t="inlineStr">
        <is>
          <t>Redes sociales</t>
        </is>
      </c>
      <c r="G19" s="4" t="inlineStr">
        <is>
          <t>2015-04-30</t>
        </is>
      </c>
      <c r="H19" s="4" t="inlineStr">
        <is>
          <t>Reproceso documental</t>
        </is>
      </c>
      <c r="I19" s="4" t="inlineStr">
        <is>
          <t>Tiempo de ciclo</t>
        </is>
      </c>
      <c r="J19" s="4" t="inlineStr">
        <is>
          <t>Me pidieron documentos incompletos en dos ocasiones distintas, con semanas de diferencia. Si faltaba algo, dimelo desde el principio.</t>
        </is>
      </c>
      <c r="K19" s="4" t="inlineStr">
        <is>
          <t>4 intentos. Errores: 1 captura, 2 incompletos, 0 ilegibles. Ventana de captura 80 dias. Estatus: Authorized. Sucursal 692.</t>
        </is>
      </c>
    </row>
    <row r="20">
      <c r="A20" s="4" t="inlineStr">
        <is>
          <t>C-016</t>
        </is>
      </c>
      <c r="B20" s="4" t="n">
        <v>220</v>
      </c>
      <c r="C20" s="4" t="inlineStr">
        <is>
          <t>Edo Mex</t>
        </is>
      </c>
      <c r="D20" s="4" t="n">
        <v>692</v>
      </c>
      <c r="E20" s="4" t="n">
        <v>3</v>
      </c>
      <c r="F20" s="4" t="inlineStr">
        <is>
          <t>Llamada a call center</t>
        </is>
      </c>
      <c r="G20" s="4" t="inlineStr">
        <is>
          <t>2014-10-28</t>
        </is>
      </c>
      <c r="H20" s="4" t="inlineStr">
        <is>
          <t>Reproceso documental</t>
        </is>
      </c>
      <c r="I20" s="4" t="inlineStr"/>
      <c r="J20" s="4" t="inlineStr">
        <is>
          <t>Me pidieron documentos incompletos en dos ocasiones distintas, con semanas de diferencia. Si faltaba algo, dimelo desde el principio.</t>
        </is>
      </c>
      <c r="K20" s="4" t="inlineStr">
        <is>
          <t>3 intentos. Errores: 0 captura, 1 incompletos, 1 ilegibles. Ventana de captura 34 dias. Estatus: Bureau Rejected. Sucursal 692.</t>
        </is>
      </c>
    </row>
    <row r="21">
      <c r="A21" s="4" t="inlineStr">
        <is>
          <t>C-017</t>
        </is>
      </c>
      <c r="B21" s="4" t="n">
        <v>556</v>
      </c>
      <c r="C21" s="4" t="inlineStr">
        <is>
          <t>D.F.</t>
        </is>
      </c>
      <c r="D21" s="4" t="n">
        <v>676</v>
      </c>
      <c r="E21" s="4" t="n">
        <v>3</v>
      </c>
      <c r="F21" s="4" t="inlineStr">
        <is>
          <t>Redes sociales</t>
        </is>
      </c>
      <c r="G21" s="4" t="inlineStr">
        <is>
          <t>2015-05-08</t>
        </is>
      </c>
      <c r="H21" s="4" t="inlineStr">
        <is>
          <t>Reproceso documental</t>
        </is>
      </c>
      <c r="I21" s="4" t="inlineStr">
        <is>
          <t>Tiempo de ciclo</t>
        </is>
      </c>
      <c r="J21" s="4" t="inlineStr">
        <is>
          <t>Pedi la tarjeta el 19 de marzo. Entre correcciones y papeles faltantes llevo 37 dias esperando.</t>
        </is>
      </c>
      <c r="K21" s="4" t="inlineStr">
        <is>
          <t>3 intentos. Errores: 1 captura, 1 incompletos, 0 ilegibles. Ventana de captura 37 dias. Estatus: Bureau Rejected. Sucursal 676.</t>
        </is>
      </c>
    </row>
    <row r="22">
      <c r="A22" s="4" t="inlineStr">
        <is>
          <t>C-018</t>
        </is>
      </c>
      <c r="B22" s="4" t="n">
        <v>562</v>
      </c>
      <c r="C22" s="4" t="inlineStr">
        <is>
          <t>Jalisco</t>
        </is>
      </c>
      <c r="D22" s="4" t="n">
        <v>728</v>
      </c>
      <c r="E22" s="4" t="n">
        <v>3</v>
      </c>
      <c r="F22" s="4" t="inlineStr">
        <is>
          <t>Llamada a call center</t>
        </is>
      </c>
      <c r="G22" s="4" t="inlineStr">
        <is>
          <t>2015-06-08</t>
        </is>
      </c>
      <c r="H22" s="4" t="inlineStr">
        <is>
          <t>Reproceso documental</t>
        </is>
      </c>
      <c r="I22" s="4" t="inlineStr"/>
      <c r="J22" s="4" t="inlineStr">
        <is>
          <t>Cada vez que entrego algo me piden otra cosa distinta. Van 3 vueltas a la sucursal 728 y sigo sin respuesta.</t>
        </is>
      </c>
      <c r="K22" s="4" t="inlineStr">
        <is>
          <t>3 intentos. Errores: 1 captura, 0 incompletos, 1 ilegibles. Ventana de captura 15 dias. Estatus: Card Sent. Sucursal 728.</t>
        </is>
      </c>
    </row>
    <row r="23">
      <c r="A23" s="4" t="inlineStr">
        <is>
          <t>C-019</t>
        </is>
      </c>
      <c r="B23" s="4" t="n">
        <v>605</v>
      </c>
      <c r="C23" s="4" t="inlineStr">
        <is>
          <t>Edo Mex</t>
        </is>
      </c>
      <c r="D23" s="4" t="n">
        <v>214</v>
      </c>
      <c r="E23" s="4" t="n">
        <v>3</v>
      </c>
      <c r="F23" s="4" t="inlineStr">
        <is>
          <t>Queja escrita</t>
        </is>
      </c>
      <c r="G23" s="4" t="inlineStr">
        <is>
          <t>2014-09-08</t>
        </is>
      </c>
      <c r="H23" s="4" t="inlineStr">
        <is>
          <t>Reproceso documental</t>
        </is>
      </c>
      <c r="I23" s="4" t="inlineStr">
        <is>
          <t>Caso atorado</t>
        </is>
      </c>
      <c r="J23" s="4" t="inlineStr">
        <is>
          <t>Llevo 18 dias en este tramite y 3 entregas de documentos. No entiendo por que no revisan todo junto la primera vez.</t>
        </is>
      </c>
      <c r="K23" s="4" t="inlineStr">
        <is>
          <t>3 intentos. Errores: 1 captura, 0 incompletos, 1 ilegibles. Ventana de captura 18 dias. Estatus: Score Accepted. Sucursal 214.</t>
        </is>
      </c>
    </row>
    <row r="24">
      <c r="A24" s="4" t="inlineStr">
        <is>
          <t>C-020</t>
        </is>
      </c>
      <c r="B24" s="4" t="n">
        <v>828</v>
      </c>
      <c r="C24" s="4" t="inlineStr">
        <is>
          <t>Edo Mex</t>
        </is>
      </c>
      <c r="D24" s="4" t="n">
        <v>110</v>
      </c>
      <c r="E24" s="4" t="n">
        <v>4</v>
      </c>
      <c r="F24" s="4" t="inlineStr">
        <is>
          <t>Queja escrita</t>
        </is>
      </c>
      <c r="G24" s="4" t="inlineStr">
        <is>
          <t>2015-08-06</t>
        </is>
      </c>
      <c r="H24" s="4" t="inlineStr">
        <is>
          <t>Reproceso documental</t>
        </is>
      </c>
      <c r="I24" s="4" t="inlineStr">
        <is>
          <t>Tiempo de ciclo</t>
        </is>
      </c>
      <c r="J24" s="4" t="inlineStr">
        <is>
          <t>Entregue todo lo que me pidieron y aun asi hubo 4 rondas de correcciones. Es desgastante.</t>
        </is>
      </c>
      <c r="K24" s="4" t="inlineStr">
        <is>
          <t>4 intentos. Errores: 2 captura, 0 incompletos, 1 ilegibles. Ventana de captura 81 dias. Estatus: Score Rejected. Sucursal 110.</t>
        </is>
      </c>
    </row>
    <row r="25">
      <c r="A25" s="4" t="inlineStr">
        <is>
          <t>C-021</t>
        </is>
      </c>
      <c r="B25" s="4" t="n">
        <v>275</v>
      </c>
      <c r="C25" s="4" t="inlineStr">
        <is>
          <t>Edo Mex</t>
        </is>
      </c>
      <c r="D25" s="4" t="n">
        <v>692</v>
      </c>
      <c r="E25" s="4" t="n">
        <v>3</v>
      </c>
      <c r="F25" s="4" t="inlineStr">
        <is>
          <t>Queja escrita</t>
        </is>
      </c>
      <c r="G25" s="4" t="inlineStr">
        <is>
          <t>2015-06-07</t>
        </is>
      </c>
      <c r="H25" s="4" t="inlineStr">
        <is>
          <t>Reproceso documental</t>
        </is>
      </c>
      <c r="I25" s="4" t="inlineStr"/>
      <c r="J25" s="4" t="inlineStr">
        <is>
          <t>Llevo 30 dias en este tramite y 3 entregas de documentos. No entiendo por que no revisan todo junto la primera vez.</t>
        </is>
      </c>
      <c r="K25" s="4" t="inlineStr">
        <is>
          <t>3 intentos. Errores: 1 captura, 0 incompletos, 1 ilegibles. Ventana de captura 30 dias. Estatus: Card Sent. Sucursal 692.</t>
        </is>
      </c>
    </row>
    <row r="26">
      <c r="A26" s="4" t="inlineStr">
        <is>
          <t>C-022</t>
        </is>
      </c>
      <c r="B26" s="4" t="n">
        <v>987</v>
      </c>
      <c r="C26" s="4" t="inlineStr">
        <is>
          <t>Puebla</t>
        </is>
      </c>
      <c r="D26" s="4" t="n">
        <v>477</v>
      </c>
      <c r="E26" s="4" t="n">
        <v>3</v>
      </c>
      <c r="F26" s="4" t="inlineStr">
        <is>
          <t>Queja escrita</t>
        </is>
      </c>
      <c r="G26" s="4" t="inlineStr">
        <is>
          <t>2014-10-13</t>
        </is>
      </c>
      <c r="H26" s="4" t="inlineStr">
        <is>
          <t>Reproceso documental</t>
        </is>
      </c>
      <c r="I26" s="4" t="inlineStr"/>
      <c r="J26" s="4" t="inlineStr">
        <is>
          <t>Me hicieron volver 3 veces por documentos. Trabajo y cada visita me cuesta medio dia.</t>
        </is>
      </c>
      <c r="K26" s="4" t="inlineStr">
        <is>
          <t>3 intentos. Errores: 0 captura, 2 incompletos, 0 ilegibles. Ventana de captura 17 dias. Estatus: Card Sent. Sucursal 477.</t>
        </is>
      </c>
    </row>
    <row r="27">
      <c r="A27" s="4" t="inlineStr">
        <is>
          <t>C-023</t>
        </is>
      </c>
      <c r="B27" s="4" t="n">
        <v>826</v>
      </c>
      <c r="C27" s="4" t="inlineStr">
        <is>
          <t>D.F.</t>
        </is>
      </c>
      <c r="D27" s="4" t="n">
        <v>413</v>
      </c>
      <c r="E27" s="4" t="n">
        <v>4</v>
      </c>
      <c r="F27" s="4" t="inlineStr">
        <is>
          <t>Queja escrita</t>
        </is>
      </c>
      <c r="G27" s="4" t="inlineStr">
        <is>
          <t>2015-11-26</t>
        </is>
      </c>
      <c r="H27" s="4" t="inlineStr">
        <is>
          <t>Reproceso documental</t>
        </is>
      </c>
      <c r="I27" s="4" t="inlineStr">
        <is>
          <t>Tiempo de ciclo</t>
        </is>
      </c>
      <c r="J27" s="4" t="inlineStr">
        <is>
          <t>Me pidieron documentos incompletos en dos ocasiones distintas, con semanas de diferencia. Si faltaba algo, dimelo desde el principio.</t>
        </is>
      </c>
      <c r="K27" s="4" t="inlineStr">
        <is>
          <t>4 intentos. Errores: 2 captura, 0 incompletos, 1 ilegibles. Ventana de captura 40 dias. Estatus: Score Accepted. Sucursal 413.</t>
        </is>
      </c>
    </row>
    <row r="28">
      <c r="A28" s="4" t="inlineStr">
        <is>
          <t>C-024</t>
        </is>
      </c>
      <c r="B28" s="4" t="n">
        <v>1191</v>
      </c>
      <c r="C28" s="4" t="inlineStr">
        <is>
          <t>Jalisco</t>
        </is>
      </c>
      <c r="D28" s="4" t="n">
        <v>453</v>
      </c>
      <c r="E28" s="4" t="n">
        <v>3</v>
      </c>
      <c r="F28" s="4" t="inlineStr">
        <is>
          <t>Queja escrita</t>
        </is>
      </c>
      <c r="G28" s="4" t="inlineStr">
        <is>
          <t>2015-05-06</t>
        </is>
      </c>
      <c r="H28" s="4" t="inlineStr">
        <is>
          <t>Reproceso documental</t>
        </is>
      </c>
      <c r="I28" s="4" t="inlineStr">
        <is>
          <t>Tiempo de ciclo</t>
        </is>
      </c>
      <c r="J28" s="4" t="inlineStr">
        <is>
          <t>Llevo 46 dias en este tramite y 3 entregas de documentos. No entiendo por que no revisan todo junto la primera vez.</t>
        </is>
      </c>
      <c r="K28" s="4" t="inlineStr">
        <is>
          <t>3 intentos. Errores: 0 captura, 1 incompletos, 1 ilegibles. Ventana de captura 46 dias. Estatus: Bureau Rejected. Sucursal 453.</t>
        </is>
      </c>
    </row>
    <row r="29">
      <c r="A29" s="4" t="inlineStr">
        <is>
          <t>C-025</t>
        </is>
      </c>
      <c r="B29" s="4" t="n">
        <v>864</v>
      </c>
      <c r="C29" s="4" t="inlineStr">
        <is>
          <t>Jalisco</t>
        </is>
      </c>
      <c r="D29" s="4" t="n">
        <v>126</v>
      </c>
      <c r="E29" s="4" t="n">
        <v>3</v>
      </c>
      <c r="F29" s="4" t="inlineStr">
        <is>
          <t>Redes sociales</t>
        </is>
      </c>
      <c r="G29" s="4" t="inlineStr">
        <is>
          <t>2015-07-14</t>
        </is>
      </c>
      <c r="H29" s="4" t="inlineStr">
        <is>
          <t>Reproceso documental</t>
        </is>
      </c>
      <c r="I29" s="4" t="inlineStr">
        <is>
          <t>Tiempo de ciclo</t>
        </is>
      </c>
      <c r="J29" s="4" t="inlineStr">
        <is>
          <t>Me pidieron documentos incompletos en dos ocasiones distintas, con semanas de diferencia. Si faltaba algo, dimelo desde el principio.</t>
        </is>
      </c>
      <c r="K29" s="4" t="inlineStr">
        <is>
          <t>3 intentos. Errores: 1 captura, 1 incompletos, 0 ilegibles. Ventana de captura 47 dias. Estatus: Card Sent. Sucursal 126.</t>
        </is>
      </c>
    </row>
    <row r="30">
      <c r="A30" s="4" t="inlineStr">
        <is>
          <t>C-026</t>
        </is>
      </c>
      <c r="B30" s="4" t="n">
        <v>1098</v>
      </c>
      <c r="C30" s="4" t="inlineStr">
        <is>
          <t>D.F.</t>
        </is>
      </c>
      <c r="D30" s="4" t="n">
        <v>413</v>
      </c>
      <c r="E30" s="4" t="n">
        <v>3</v>
      </c>
      <c r="F30" s="4" t="inlineStr">
        <is>
          <t>Llamada a call center</t>
        </is>
      </c>
      <c r="G30" s="4" t="inlineStr">
        <is>
          <t>2015-06-08</t>
        </is>
      </c>
      <c r="H30" s="4" t="inlineStr">
        <is>
          <t>Reproceso documental</t>
        </is>
      </c>
      <c r="I30" s="4" t="inlineStr"/>
      <c r="J30" s="4" t="inlineStr">
        <is>
          <t>Llevo 34 dias en este tramite y 3 entregas de documentos. No entiendo por que no revisan todo junto la primera vez.</t>
        </is>
      </c>
      <c r="K30" s="4" t="inlineStr">
        <is>
          <t>3 intentos. Errores: 1 captura, 1 incompletos, 0 ilegibles. Ventana de captura 34 dias. Estatus: Bureau Rejected. Sucursal 413.</t>
        </is>
      </c>
    </row>
    <row r="31">
      <c r="A31" s="4" t="inlineStr">
        <is>
          <t>C-027</t>
        </is>
      </c>
      <c r="B31" s="4" t="n">
        <v>738</v>
      </c>
      <c r="C31" s="4" t="inlineStr">
        <is>
          <t>Chiapas</t>
        </is>
      </c>
      <c r="D31" s="4" t="n">
        <v>352</v>
      </c>
      <c r="E31" s="4" t="n">
        <v>4</v>
      </c>
      <c r="F31" s="4" t="inlineStr">
        <is>
          <t>Encuesta post-venta</t>
        </is>
      </c>
      <c r="G31" s="4" t="inlineStr">
        <is>
          <t>2015-07-28</t>
        </is>
      </c>
      <c r="H31" s="4" t="inlineStr">
        <is>
          <t>Reproceso documental</t>
        </is>
      </c>
      <c r="I31" s="4" t="inlineStr">
        <is>
          <t>Tiempo de ciclo</t>
        </is>
      </c>
      <c r="J31" s="4" t="inlineStr">
        <is>
          <t>4 veces me han pedido papeles. Empece el 15 de mayo y seguimos igual. Nadie me dice todo lo que falta de una sola vez.</t>
        </is>
      </c>
      <c r="K31" s="4" t="inlineStr">
        <is>
          <t>4 intentos. Errores: 2 captura, 1 incompletos, 0 ilegibles. Ventana de captura 60 dias. Estatus: Score Accepted. Sucursal 352.</t>
        </is>
      </c>
    </row>
    <row r="32">
      <c r="A32" s="4" t="inlineStr">
        <is>
          <t>C-028</t>
        </is>
      </c>
      <c r="B32" s="4" t="n">
        <v>703</v>
      </c>
      <c r="C32" s="4" t="inlineStr">
        <is>
          <t>Veracruz</t>
        </is>
      </c>
      <c r="D32" s="4" t="n">
        <v>446</v>
      </c>
      <c r="E32" s="4" t="n">
        <v>3</v>
      </c>
      <c r="F32" s="4" t="inlineStr">
        <is>
          <t>Queja escrita</t>
        </is>
      </c>
      <c r="G32" s="4" t="inlineStr">
        <is>
          <t>2015-07-22</t>
        </is>
      </c>
      <c r="H32" s="4" t="inlineStr">
        <is>
          <t>Reproceso documental</t>
        </is>
      </c>
      <c r="I32" s="4" t="inlineStr">
        <is>
          <t>Tiempo de ciclo</t>
        </is>
      </c>
      <c r="J32" s="4" t="inlineStr">
        <is>
          <t>Me hicieron volver 3 veces por documentos. Trabajo y cada visita me cuesta medio dia.</t>
        </is>
      </c>
      <c r="K32" s="4" t="inlineStr">
        <is>
          <t>3 intentos. Errores: 1 captura, 1 incompletos, 0 ilegibles. Ventana de captura 48 dias. Estatus: Card Sent. Sucursal 446.</t>
        </is>
      </c>
    </row>
    <row r="33">
      <c r="A33" s="4" t="inlineStr">
        <is>
          <t>C-029</t>
        </is>
      </c>
      <c r="B33" s="4" t="n">
        <v>761</v>
      </c>
      <c r="C33" s="4" t="inlineStr">
        <is>
          <t>D.F.</t>
        </is>
      </c>
      <c r="D33" s="4" t="n">
        <v>676</v>
      </c>
      <c r="E33" s="4" t="n">
        <v>4</v>
      </c>
      <c r="F33" s="4" t="inlineStr">
        <is>
          <t>Redes sociales</t>
        </is>
      </c>
      <c r="G33" s="4" t="inlineStr">
        <is>
          <t>2015-10-11</t>
        </is>
      </c>
      <c r="H33" s="4" t="inlineStr">
        <is>
          <t>Reproceso documental</t>
        </is>
      </c>
      <c r="I33" s="4" t="inlineStr">
        <is>
          <t>Tiempo de ciclo</t>
        </is>
      </c>
      <c r="J33" s="4" t="inlineStr">
        <is>
          <t>Despues de 4 intentos ya perdi la cuenta de cuantas copias de mi identificacion he entregado.</t>
        </is>
      </c>
      <c r="K33" s="4" t="inlineStr">
        <is>
          <t>4 intentos. Errores: 1 captura, 2 incompletos, 0 ilegibles. Ventana de captura 65 dias. Estatus: Authorized. Sucursal 676.</t>
        </is>
      </c>
    </row>
    <row r="34">
      <c r="A34" s="4" t="inlineStr">
        <is>
          <t>C-030</t>
        </is>
      </c>
      <c r="B34" s="4" t="n">
        <v>473</v>
      </c>
      <c r="C34" s="4" t="inlineStr">
        <is>
          <t>Edo Mex</t>
        </is>
      </c>
      <c r="D34" s="4" t="n">
        <v>110</v>
      </c>
      <c r="E34" s="4" t="n">
        <v>3</v>
      </c>
      <c r="F34" s="4" t="inlineStr">
        <is>
          <t>Redes sociales</t>
        </is>
      </c>
      <c r="G34" s="4" t="inlineStr">
        <is>
          <t>2014-09-16</t>
        </is>
      </c>
      <c r="H34" s="4" t="inlineStr">
        <is>
          <t>Reproceso documental</t>
        </is>
      </c>
      <c r="I34" s="4" t="inlineStr">
        <is>
          <t>Tiempo de ciclo</t>
        </is>
      </c>
      <c r="J34" s="4" t="inlineStr">
        <is>
          <t>Mi expediente lo devolvieron dos veces por documentos incompletos. Nadie se hizo responsable.</t>
        </is>
      </c>
      <c r="K34" s="4" t="inlineStr">
        <is>
          <t>3 intentos. Errores: 1 captura, 1 incompletos, 0 ilegibles. Ventana de captura 59 dias. Estatus: Card Sent. Sucursal 110.</t>
        </is>
      </c>
    </row>
    <row r="35">
      <c r="A35" s="4" t="inlineStr">
        <is>
          <t>C-031</t>
        </is>
      </c>
      <c r="B35" s="4" t="n">
        <v>12</v>
      </c>
      <c r="C35" s="4" t="inlineStr">
        <is>
          <t>D.F.</t>
        </is>
      </c>
      <c r="D35" s="4" t="n">
        <v>676</v>
      </c>
      <c r="E35" s="4" t="n">
        <v>3</v>
      </c>
      <c r="F35" s="4" t="inlineStr">
        <is>
          <t>Encuesta post-venta</t>
        </is>
      </c>
      <c r="G35" s="4" t="inlineStr">
        <is>
          <t>2015-11-11</t>
        </is>
      </c>
      <c r="H35" s="4" t="inlineStr">
        <is>
          <t>Reproceso documental</t>
        </is>
      </c>
      <c r="I35" s="4" t="inlineStr">
        <is>
          <t>Tiempo de ciclo</t>
        </is>
      </c>
      <c r="J35" s="4" t="inlineStr">
        <is>
          <t>3 veces me han pedido papeles. Empece el 12 de agosto y seguimos igual. Nadie me dice todo lo que falta de una sola vez.</t>
        </is>
      </c>
      <c r="K35" s="4" t="inlineStr">
        <is>
          <t>3 intentos. Errores: 0 captura, 1 incompletos, 1 ilegibles. Ventana de captura 78 dias. Estatus: Authorized. Sucursal 676.</t>
        </is>
      </c>
    </row>
    <row r="36">
      <c r="A36" s="4" t="inlineStr">
        <is>
          <t>C-032</t>
        </is>
      </c>
      <c r="B36" s="4" t="n">
        <v>604</v>
      </c>
      <c r="C36" s="4" t="inlineStr">
        <is>
          <t>Edo Mex</t>
        </is>
      </c>
      <c r="D36" s="4" t="n">
        <v>110</v>
      </c>
      <c r="E36" s="4" t="n">
        <v>3</v>
      </c>
      <c r="F36" s="4" t="inlineStr">
        <is>
          <t>Encuesta post-venta</t>
        </is>
      </c>
      <c r="G36" s="4" t="inlineStr">
        <is>
          <t>2015-08-11</t>
        </is>
      </c>
      <c r="H36" s="4" t="inlineStr">
        <is>
          <t>Reproceso documental</t>
        </is>
      </c>
      <c r="I36" s="4" t="inlineStr"/>
      <c r="J36" s="4" t="inlineStr">
        <is>
          <t>No hay una lista clara de requisitos. Cada ejecutivo pide algo distinto y uno paga el tiempo.</t>
        </is>
      </c>
      <c r="K36" s="4" t="inlineStr">
        <is>
          <t>3 intentos. Errores: 1 captura, 0 incompletos, 1 ilegibles. Ventana de captura 19 dias. Estatus: Bureau Rejected. Sucursal 110.</t>
        </is>
      </c>
    </row>
    <row r="37">
      <c r="A37" s="4" t="inlineStr">
        <is>
          <t>C-033</t>
        </is>
      </c>
      <c r="B37" s="4" t="n">
        <v>1315</v>
      </c>
      <c r="C37" s="4" t="inlineStr">
        <is>
          <t>D.F.</t>
        </is>
      </c>
      <c r="D37" s="4" t="n">
        <v>676</v>
      </c>
      <c r="E37" s="4" t="n">
        <v>5</v>
      </c>
      <c r="F37" s="4" t="inlineStr">
        <is>
          <t>Redes sociales</t>
        </is>
      </c>
      <c r="G37" s="4" t="inlineStr">
        <is>
          <t>2015-10-23</t>
        </is>
      </c>
      <c r="H37" s="4" t="inlineStr">
        <is>
          <t>Reproceso documental</t>
        </is>
      </c>
      <c r="I37" s="4" t="inlineStr">
        <is>
          <t>Tiempo de ciclo</t>
        </is>
      </c>
      <c r="J37" s="4" t="inlineStr">
        <is>
          <t>Pedi la tarjeta el 12 de agosto. Entre correcciones y papeles faltantes llevo 69 dias esperando.</t>
        </is>
      </c>
      <c r="K37" s="4" t="inlineStr">
        <is>
          <t>5 intentos. Errores: 2 captura, 1 incompletos, 1 ilegibles. Ventana de captura 69 dias. Estatus: Score Accepted. Sucursal 676.</t>
        </is>
      </c>
    </row>
    <row r="38">
      <c r="A38" s="4" t="inlineStr">
        <is>
          <t>C-034</t>
        </is>
      </c>
      <c r="B38" s="4" t="n">
        <v>894</v>
      </c>
      <c r="C38" s="4" t="inlineStr">
        <is>
          <t>Jalisco</t>
        </is>
      </c>
      <c r="D38" s="4" t="n">
        <v>728</v>
      </c>
      <c r="E38" s="4" t="n">
        <v>4</v>
      </c>
      <c r="F38" s="4" t="inlineStr">
        <is>
          <t>Llamada a call center</t>
        </is>
      </c>
      <c r="G38" s="4" t="inlineStr">
        <is>
          <t>2014-11-10</t>
        </is>
      </c>
      <c r="H38" s="4" t="inlineStr">
        <is>
          <t>Reproceso documental</t>
        </is>
      </c>
      <c r="I38" s="4" t="inlineStr">
        <is>
          <t>Tiempo de ciclo</t>
        </is>
      </c>
      <c r="J38" s="4" t="inlineStr">
        <is>
          <t>Llevo 54 dias en este tramite y 4 entregas de documentos. No entiendo por que no revisan todo junto la primera vez.</t>
        </is>
      </c>
      <c r="K38" s="4" t="inlineStr">
        <is>
          <t>4 intentos. Errores: 2 captura, 1 incompletos, 0 ilegibles. Ventana de captura 54 dias. Estatus: Score Accepted. Sucursal 728.</t>
        </is>
      </c>
    </row>
    <row r="39">
      <c r="A39" s="4" t="inlineStr">
        <is>
          <t>C-035</t>
        </is>
      </c>
      <c r="B39" s="4" t="n">
        <v>1111</v>
      </c>
      <c r="C39" s="4" t="inlineStr">
        <is>
          <t>Sinaloa</t>
        </is>
      </c>
      <c r="D39" s="4" t="n">
        <v>440</v>
      </c>
      <c r="E39" s="4" t="n">
        <v>3</v>
      </c>
      <c r="F39" s="4" t="inlineStr">
        <is>
          <t>Queja escrita</t>
        </is>
      </c>
      <c r="G39" s="4" t="inlineStr">
        <is>
          <t>2015-07-19</t>
        </is>
      </c>
      <c r="H39" s="4" t="inlineStr">
        <is>
          <t>Reproceso documental</t>
        </is>
      </c>
      <c r="I39" s="4" t="inlineStr">
        <is>
          <t>Tiempo de ciclo</t>
        </is>
      </c>
      <c r="J39" s="4" t="inlineStr">
        <is>
          <t>Llevo 52 dias en este tramite y 3 entregas de documentos. No entiendo por que no revisan todo junto la primera vez.</t>
        </is>
      </c>
      <c r="K39" s="4" t="inlineStr">
        <is>
          <t>3 intentos. Errores: 0 captura, 1 incompletos, 1 ilegibles. Ventana de captura 52 dias. Estatus: Card Sent. Sucursal 440.</t>
        </is>
      </c>
    </row>
    <row r="40">
      <c r="A40" s="4" t="inlineStr">
        <is>
          <t>C-036</t>
        </is>
      </c>
      <c r="B40" s="4" t="n">
        <v>582</v>
      </c>
      <c r="C40" s="4" t="inlineStr">
        <is>
          <t>D.F.</t>
        </is>
      </c>
      <c r="D40" s="4" t="n">
        <v>676</v>
      </c>
      <c r="E40" s="4" t="n">
        <v>3</v>
      </c>
      <c r="F40" s="4" t="inlineStr">
        <is>
          <t>Queja escrita</t>
        </is>
      </c>
      <c r="G40" s="4" t="inlineStr">
        <is>
          <t>2015-08-23</t>
        </is>
      </c>
      <c r="H40" s="4" t="inlineStr">
        <is>
          <t>Reproceso documental</t>
        </is>
      </c>
      <c r="I40" s="4" t="inlineStr"/>
      <c r="J40" s="4" t="inlineStr">
        <is>
          <t>Cada vez que entrego algo me piden otra cosa distinta. Van 3 vueltas a la sucursal 676 y sigo sin respuesta.</t>
        </is>
      </c>
      <c r="K40" s="4" t="inlineStr">
        <is>
          <t>3 intentos. Errores: 0 captura, 2 incompletos, 0 ilegibles. Ventana de captura 26 dias. Estatus: Card Sent. Sucursal 676.</t>
        </is>
      </c>
    </row>
    <row r="41">
      <c r="A41" s="4" t="inlineStr">
        <is>
          <t>C-037</t>
        </is>
      </c>
      <c r="B41" s="4" t="n">
        <v>729</v>
      </c>
      <c r="C41" s="4" t="inlineStr">
        <is>
          <t>Jalisco</t>
        </is>
      </c>
      <c r="D41" s="4" t="n">
        <v>126</v>
      </c>
      <c r="E41" s="4" t="n">
        <v>3</v>
      </c>
      <c r="F41" s="4" t="inlineStr">
        <is>
          <t>Redes sociales</t>
        </is>
      </c>
      <c r="G41" s="4" t="inlineStr">
        <is>
          <t>2014-06-26</t>
        </is>
      </c>
      <c r="H41" s="4" t="inlineStr">
        <is>
          <t>Reproceso documental</t>
        </is>
      </c>
      <c r="I41" s="4" t="inlineStr"/>
      <c r="J41" s="4" t="inlineStr">
        <is>
          <t>No hay una lista clara de requisitos. Cada ejecutivo pide algo distinto y uno paga el tiempo.</t>
        </is>
      </c>
      <c r="K41" s="4" t="inlineStr">
        <is>
          <t>3 intentos. Errores: 1 captura, 1 incompletos, 0 ilegibles. Ventana de captura 26 dias. Estatus: Bureau Rejected. Sucursal 126.</t>
        </is>
      </c>
    </row>
    <row r="42">
      <c r="A42" s="4" t="inlineStr">
        <is>
          <t>C-038</t>
        </is>
      </c>
      <c r="B42" s="4" t="n">
        <v>793</v>
      </c>
      <c r="C42" s="4" t="inlineStr">
        <is>
          <t>Edo Mex</t>
        </is>
      </c>
      <c r="D42" s="4" t="n">
        <v>214</v>
      </c>
      <c r="E42" s="4" t="n">
        <v>3</v>
      </c>
      <c r="F42" s="4" t="inlineStr">
        <is>
          <t>Encuesta post-venta</t>
        </is>
      </c>
      <c r="G42" s="4" t="inlineStr">
        <is>
          <t>2015-03-17</t>
        </is>
      </c>
      <c r="H42" s="4" t="inlineStr">
        <is>
          <t>Reproceso documental</t>
        </is>
      </c>
      <c r="I42" s="4" t="inlineStr"/>
      <c r="J42" s="4" t="inlineStr">
        <is>
          <t>Entregue todo lo que me pidieron y aun asi hubo 3 rondas de correcciones. Es desgastante.</t>
        </is>
      </c>
      <c r="K42" s="4" t="inlineStr">
        <is>
          <t>3 intentos. Errores: 1 captura, 1 incompletos, 0 ilegibles. Ventana de captura 30 dias. Estatus: Card Sent. Sucursal 214.</t>
        </is>
      </c>
    </row>
    <row r="43">
      <c r="A43" s="4" t="inlineStr">
        <is>
          <t>C-039</t>
        </is>
      </c>
      <c r="B43" s="4" t="n">
        <v>504</v>
      </c>
      <c r="C43" s="4" t="inlineStr">
        <is>
          <t>Edo Mex</t>
        </is>
      </c>
      <c r="D43" s="4" t="n">
        <v>110</v>
      </c>
      <c r="E43" s="4" t="n">
        <v>4</v>
      </c>
      <c r="F43" s="4" t="inlineStr">
        <is>
          <t>Llamada a call center</t>
        </is>
      </c>
      <c r="G43" s="4" t="inlineStr">
        <is>
          <t>2015-01-31</t>
        </is>
      </c>
      <c r="H43" s="4" t="inlineStr">
        <is>
          <t>Reproceso documental</t>
        </is>
      </c>
      <c r="I43" s="4" t="inlineStr">
        <is>
          <t>Tiempo de ciclo</t>
        </is>
      </c>
      <c r="J43" s="4" t="inlineStr">
        <is>
          <t>No hay una lista clara de requisitos. Cada ejecutivo pide algo distinto y uno paga el tiempo.</t>
        </is>
      </c>
      <c r="K43" s="4" t="inlineStr">
        <is>
          <t>4 intentos. Errores: 2 captura, 1 incompletos, 0 ilegibles. Ventana de captura 35 dias. Estatus: Bureau Rejected. Sucursal 110.</t>
        </is>
      </c>
    </row>
    <row r="44">
      <c r="A44" s="4" t="inlineStr">
        <is>
          <t>C-040</t>
        </is>
      </c>
      <c r="B44" s="4" t="n">
        <v>446</v>
      </c>
      <c r="C44" s="4" t="inlineStr">
        <is>
          <t>Veracruz</t>
        </is>
      </c>
      <c r="D44" s="4" t="n">
        <v>416</v>
      </c>
      <c r="E44" s="4" t="n">
        <v>3</v>
      </c>
      <c r="F44" s="4" t="inlineStr">
        <is>
          <t>Queja escrita</t>
        </is>
      </c>
      <c r="G44" s="4" t="inlineStr">
        <is>
          <t>2015-01-21</t>
        </is>
      </c>
      <c r="H44" s="4" t="inlineStr">
        <is>
          <t>Reproceso documental</t>
        </is>
      </c>
      <c r="I44" s="4" t="inlineStr"/>
      <c r="J44" s="4" t="inlineStr">
        <is>
          <t>3 veces me han pedido papeles. Empece el 3 de enero y seguimos igual. Nadie me dice todo lo que falta de una sola vez.</t>
        </is>
      </c>
      <c r="K44" s="4" t="inlineStr">
        <is>
          <t>3 intentos. Errores: 1 captura, 1 incompletos, 0 ilegibles. Ventana de captura 14 dias. Estatus: Bureau Rejected. Sucursal 416.</t>
        </is>
      </c>
    </row>
    <row r="45">
      <c r="A45" s="4" t="inlineStr">
        <is>
          <t>C-041</t>
        </is>
      </c>
      <c r="B45" s="4" t="n">
        <v>606</v>
      </c>
      <c r="C45" s="4" t="inlineStr">
        <is>
          <t>Edo Mex</t>
        </is>
      </c>
      <c r="D45" s="4" t="n">
        <v>692</v>
      </c>
      <c r="E45" s="4" t="n">
        <v>3</v>
      </c>
      <c r="F45" s="4" t="inlineStr">
        <is>
          <t>Queja escrita</t>
        </is>
      </c>
      <c r="G45" s="4" t="inlineStr">
        <is>
          <t>2015-08-09</t>
        </is>
      </c>
      <c r="H45" s="4" t="inlineStr">
        <is>
          <t>Reproceso documental</t>
        </is>
      </c>
      <c r="I45" s="4" t="inlineStr">
        <is>
          <t>Tiempo de ciclo</t>
        </is>
      </c>
      <c r="J45" s="4" t="inlineStr">
        <is>
          <t>Despues de 3 intentos ya perdi la cuenta de cuantas copias de mi identificacion he entregado.</t>
        </is>
      </c>
      <c r="K45" s="4" t="inlineStr">
        <is>
          <t>3 intentos. Errores: 0 captura, 1 incompletos, 0 ilegibles. Ventana de captura 51 dias. Estatus: Score Rejected. Sucursal 692.</t>
        </is>
      </c>
    </row>
    <row r="46">
      <c r="A46" s="4" t="inlineStr">
        <is>
          <t>C-042</t>
        </is>
      </c>
      <c r="B46" s="4" t="n">
        <v>1103</v>
      </c>
      <c r="C46" s="4" t="inlineStr">
        <is>
          <t>Edo Mex</t>
        </is>
      </c>
      <c r="D46" s="4" t="n">
        <v>110</v>
      </c>
      <c r="E46" s="4" t="n">
        <v>3</v>
      </c>
      <c r="F46" s="4" t="inlineStr">
        <is>
          <t>Llamada a call center</t>
        </is>
      </c>
      <c r="G46" s="4" t="inlineStr">
        <is>
          <t>2014-10-10</t>
        </is>
      </c>
      <c r="H46" s="4" t="inlineStr">
        <is>
          <t>Reproceso documental</t>
        </is>
      </c>
      <c r="I46" s="4" t="inlineStr">
        <is>
          <t>Tiempo de ciclo</t>
        </is>
      </c>
      <c r="J46" s="4" t="inlineStr">
        <is>
          <t>Cada vez que entrego algo me piden otra cosa distinta. Van 3 vueltas a la sucursal 110 y sigo sin respuesta.</t>
        </is>
      </c>
      <c r="K46" s="4" t="inlineStr">
        <is>
          <t>3 intentos. Errores: 1 captura, 1 incompletos, 0 ilegibles. Ventana de captura 41 dias. Estatus: Card Sent. Sucursal 110.</t>
        </is>
      </c>
    </row>
    <row r="47">
      <c r="A47" s="4" t="inlineStr">
        <is>
          <t>C-043</t>
        </is>
      </c>
      <c r="B47" s="4" t="n">
        <v>959</v>
      </c>
      <c r="C47" s="4" t="inlineStr">
        <is>
          <t>Nuevo León</t>
        </is>
      </c>
      <c r="D47" s="4" t="n">
        <v>455</v>
      </c>
      <c r="E47" s="4" t="n">
        <v>5</v>
      </c>
      <c r="F47" s="4" t="inlineStr">
        <is>
          <t>Redes sociales</t>
        </is>
      </c>
      <c r="G47" s="4" t="inlineStr">
        <is>
          <t>2015-11-16</t>
        </is>
      </c>
      <c r="H47" s="4" t="inlineStr">
        <is>
          <t>Error de captura</t>
        </is>
      </c>
      <c r="I47" s="4" t="inlineStr">
        <is>
          <t>Tiempo de ciclo</t>
        </is>
      </c>
      <c r="J47" s="4" t="inlineStr">
        <is>
          <t>Dos errores de captura seguidos en la misma solicitud. Mi nombre venia mal escrito las dos veces.</t>
        </is>
      </c>
      <c r="K47" s="4" t="inlineStr">
        <is>
          <t>5 intentos. Errores: 3 captura, 1 incompletos, 0 ilegibles. Ventana de captura 38 dias. Estatus: Bureau Rejected. Sucursal 455.</t>
        </is>
      </c>
    </row>
    <row r="48">
      <c r="A48" s="4" t="inlineStr">
        <is>
          <t>C-044</t>
        </is>
      </c>
      <c r="B48" s="4" t="n">
        <v>844</v>
      </c>
      <c r="C48" s="4" t="inlineStr">
        <is>
          <t>Edo Mex</t>
        </is>
      </c>
      <c r="D48" s="4" t="n">
        <v>110</v>
      </c>
      <c r="E48" s="4" t="n">
        <v>4</v>
      </c>
      <c r="F48" s="4" t="inlineStr">
        <is>
          <t>Queja escrita</t>
        </is>
      </c>
      <c r="G48" s="4" t="inlineStr">
        <is>
          <t>2015-09-07</t>
        </is>
      </c>
      <c r="H48" s="4" t="inlineStr">
        <is>
          <t>Error de captura</t>
        </is>
      </c>
      <c r="I48" s="4" t="inlineStr">
        <is>
          <t>Tiempo de ciclo</t>
        </is>
      </c>
      <c r="J48" s="4" t="inlineStr">
        <is>
          <t>Revisaron mi solicitud y encontraron errores de captura del propio banco. Y me toco esperar de nuevo.</t>
        </is>
      </c>
      <c r="K48" s="4" t="inlineStr">
        <is>
          <t>4 intentos. Errores: 2 captura, 0 incompletos, 1 ilegibles. Ventana de captura 50 dias. Estatus: Card Sent. Sucursal 110.</t>
        </is>
      </c>
    </row>
    <row r="49">
      <c r="A49" s="4" t="inlineStr">
        <is>
          <t>C-045</t>
        </is>
      </c>
      <c r="B49" s="4" t="n">
        <v>1159</v>
      </c>
      <c r="C49" s="4" t="inlineStr">
        <is>
          <t>D.F.</t>
        </is>
      </c>
      <c r="D49" s="4" t="n">
        <v>275</v>
      </c>
      <c r="E49" s="4" t="n">
        <v>4</v>
      </c>
      <c r="F49" s="4" t="inlineStr">
        <is>
          <t>Encuesta post-venta</t>
        </is>
      </c>
      <c r="G49" s="4" t="inlineStr">
        <is>
          <t>2015-08-16</t>
        </is>
      </c>
      <c r="H49" s="4" t="inlineStr">
        <is>
          <t>Error de captura</t>
        </is>
      </c>
      <c r="I49" s="4" t="inlineStr">
        <is>
          <t>Caso atorado</t>
        </is>
      </c>
      <c r="J49" s="4" t="inlineStr">
        <is>
          <t>Revisaron mi solicitud y encontraron errores de captura del propio banco. Y me toco esperar de nuevo.</t>
        </is>
      </c>
      <c r="K49" s="4" t="inlineStr">
        <is>
          <t>4 intentos. Errores: 2 captura, 0 incompletos, 0 ilegibles. Ventana de captura 29 dias. Estatus: Score Accepted. Sucursal 275.</t>
        </is>
      </c>
    </row>
    <row r="50">
      <c r="A50" s="4" t="inlineStr">
        <is>
          <t>C-046</t>
        </is>
      </c>
      <c r="B50" s="4" t="n">
        <v>103</v>
      </c>
      <c r="C50" s="4" t="inlineStr">
        <is>
          <t>Veracruz</t>
        </is>
      </c>
      <c r="D50" s="4" t="n">
        <v>416</v>
      </c>
      <c r="E50" s="4" t="n">
        <v>4</v>
      </c>
      <c r="F50" s="4" t="inlineStr">
        <is>
          <t>Llamada a call center</t>
        </is>
      </c>
      <c r="G50" s="4" t="inlineStr">
        <is>
          <t>2015-04-26</t>
        </is>
      </c>
      <c r="H50" s="4" t="inlineStr">
        <is>
          <t>Error de captura</t>
        </is>
      </c>
      <c r="I50" s="4" t="inlineStr">
        <is>
          <t>Caso atorado</t>
        </is>
      </c>
      <c r="J50" s="4" t="inlineStr">
        <is>
          <t>El sistema tenia mal mi RFC porque lo capturaron mal. Tres semanas perdidas por un dato.</t>
        </is>
      </c>
      <c r="K50" s="4" t="inlineStr">
        <is>
          <t>4 intentos. Errores: 2 captura, 1 incompletos, 0 ilegibles. Ventana de captura 29 dias. Estatus: Authorized. Sucursal 416.</t>
        </is>
      </c>
    </row>
    <row r="51">
      <c r="A51" s="4" t="inlineStr">
        <is>
          <t>C-047</t>
        </is>
      </c>
      <c r="B51" s="4" t="n">
        <v>1434</v>
      </c>
      <c r="C51" s="4" t="inlineStr">
        <is>
          <t>Jalisco</t>
        </is>
      </c>
      <c r="D51" s="4" t="n">
        <v>453</v>
      </c>
      <c r="E51" s="4" t="n">
        <v>3</v>
      </c>
      <c r="F51" s="4" t="inlineStr">
        <is>
          <t>Llamada a call center</t>
        </is>
      </c>
      <c r="G51" s="4" t="inlineStr">
        <is>
          <t>2015-01-15</t>
        </is>
      </c>
      <c r="H51" s="4" t="inlineStr">
        <is>
          <t>Error de captura</t>
        </is>
      </c>
      <c r="I51" s="4" t="inlineStr">
        <is>
          <t>Tiempo de ciclo</t>
        </is>
      </c>
      <c r="J51" s="4" t="inlineStr">
        <is>
          <t>Mi domicilio quedo mal registrado y eso atraso todo 74 dias. Fue un error de ellos, no mio.</t>
        </is>
      </c>
      <c r="K51" s="4" t="inlineStr">
        <is>
          <t>3 intentos. Errores: 2 captura, 0 incompletos, 0 ilegibles. Ventana de captura 74 dias. Estatus: Authorized. Sucursal 453.</t>
        </is>
      </c>
    </row>
    <row r="52">
      <c r="A52" s="4" t="inlineStr">
        <is>
          <t>C-048</t>
        </is>
      </c>
      <c r="B52" s="4" t="n">
        <v>462</v>
      </c>
      <c r="C52" s="4" t="inlineStr">
        <is>
          <t>Jalisco</t>
        </is>
      </c>
      <c r="D52" s="4" t="n">
        <v>728</v>
      </c>
      <c r="E52" s="4" t="n">
        <v>4</v>
      </c>
      <c r="F52" s="4" t="inlineStr">
        <is>
          <t>Redes sociales</t>
        </is>
      </c>
      <c r="G52" s="4" t="inlineStr">
        <is>
          <t>2014-12-13</t>
        </is>
      </c>
      <c r="H52" s="4" t="inlineStr">
        <is>
          <t>Error de captura</t>
        </is>
      </c>
      <c r="I52" s="4" t="inlineStr">
        <is>
          <t>Tiempo de ciclo</t>
        </is>
      </c>
      <c r="J52" s="4" t="inlineStr">
        <is>
          <t>El ejecutivo teclea mal mis datos y el costo de corregirlo lo pago yo con mi tiempo. Van 3 errores de captura.</t>
        </is>
      </c>
      <c r="K52" s="4" t="inlineStr">
        <is>
          <t>4 intentos. Errores: 3 captura, 0 incompletos, 0 ilegibles. Ventana de captura 69 dias. Estatus: Score Accepted. Sucursal 728.</t>
        </is>
      </c>
    </row>
    <row r="53">
      <c r="A53" s="4" t="inlineStr">
        <is>
          <t>C-049</t>
        </is>
      </c>
      <c r="B53" s="4" t="n">
        <v>824</v>
      </c>
      <c r="C53" s="4" t="inlineStr">
        <is>
          <t>Jalisco</t>
        </is>
      </c>
      <c r="D53" s="4" t="n">
        <v>728</v>
      </c>
      <c r="E53" s="4" t="n">
        <v>4</v>
      </c>
      <c r="F53" s="4" t="inlineStr">
        <is>
          <t>Llamada a call center</t>
        </is>
      </c>
      <c r="G53" s="4" t="inlineStr">
        <is>
          <t>2014-12-27</t>
        </is>
      </c>
      <c r="H53" s="4" t="inlineStr">
        <is>
          <t>Error de captura</t>
        </is>
      </c>
      <c r="I53" s="4" t="inlineStr">
        <is>
          <t>Tiempo de ciclo</t>
        </is>
      </c>
      <c r="J53" s="4" t="inlineStr">
        <is>
          <t>Revisaron mi solicitud y encontraron errores de captura del propio banco. Y me toco esperar de nuevo.</t>
        </is>
      </c>
      <c r="K53" s="4" t="inlineStr">
        <is>
          <t>4 intentos. Errores: 2 captura, 1 incompletos, 0 ilegibles. Ventana de captura 38 dias. Estatus: Authorized. Sucursal 728.</t>
        </is>
      </c>
    </row>
    <row r="54">
      <c r="A54" s="4" t="inlineStr">
        <is>
          <t>C-050</t>
        </is>
      </c>
      <c r="B54" s="4" t="n">
        <v>1340</v>
      </c>
      <c r="C54" s="4" t="inlineStr">
        <is>
          <t>Veracruz</t>
        </is>
      </c>
      <c r="D54" s="4" t="n">
        <v>416</v>
      </c>
      <c r="E54" s="4" t="n">
        <v>4</v>
      </c>
      <c r="F54" s="4" t="inlineStr">
        <is>
          <t>Llamada a call center</t>
        </is>
      </c>
      <c r="G54" s="4" t="inlineStr">
        <is>
          <t>2015-05-11</t>
        </is>
      </c>
      <c r="H54" s="4" t="inlineStr">
        <is>
          <t>Error de captura</t>
        </is>
      </c>
      <c r="I54" s="4" t="inlineStr">
        <is>
          <t>Tiempo de ciclo</t>
        </is>
      </c>
      <c r="J54" s="4" t="inlineStr">
        <is>
          <t>Revisaron mi solicitud y encontraron errores de captura del propio banco. Y me toco esperar de nuevo.</t>
        </is>
      </c>
      <c r="K54" s="4" t="inlineStr">
        <is>
          <t>4 intentos. Errores: 2 captura, 1 incompletos, 0 ilegibles. Ventana de captura 59 dias. Estatus: Score Accepted. Sucursal 416.</t>
        </is>
      </c>
    </row>
    <row r="55">
      <c r="A55" s="4" t="inlineStr">
        <is>
          <t>C-051</t>
        </is>
      </c>
      <c r="B55" s="4" t="n">
        <v>771</v>
      </c>
      <c r="C55" s="4" t="inlineStr">
        <is>
          <t>Nuevo León</t>
        </is>
      </c>
      <c r="D55" s="4" t="n">
        <v>455</v>
      </c>
      <c r="E55" s="4" t="n">
        <v>3</v>
      </c>
      <c r="F55" s="4" t="inlineStr">
        <is>
          <t>Llamada a call center</t>
        </is>
      </c>
      <c r="G55" s="4" t="inlineStr">
        <is>
          <t>2015-01-29</t>
        </is>
      </c>
      <c r="H55" s="4" t="inlineStr">
        <is>
          <t>Error de captura</t>
        </is>
      </c>
      <c r="I55" s="4" t="inlineStr">
        <is>
          <t>Tiempo de ciclo</t>
        </is>
      </c>
      <c r="J55" s="4" t="inlineStr">
        <is>
          <t>Revisaron mi solicitud y encontraron errores de captura del propio banco. Y me toco esperar de nuevo.</t>
        </is>
      </c>
      <c r="K55" s="4" t="inlineStr">
        <is>
          <t>3 intentos. Errores: 2 captura, 0 incompletos, 0 ilegibles. Ventana de captura 47 dias. Estatus: Card Sent. Sucursal 455.</t>
        </is>
      </c>
    </row>
    <row r="56">
      <c r="A56" s="4" t="inlineStr">
        <is>
          <t>C-052</t>
        </is>
      </c>
      <c r="B56" s="4" t="n">
        <v>385</v>
      </c>
      <c r="C56" s="4" t="inlineStr">
        <is>
          <t>D.F.</t>
        </is>
      </c>
      <c r="D56" s="4" t="n">
        <v>275</v>
      </c>
      <c r="E56" s="4" t="n">
        <v>3</v>
      </c>
      <c r="F56" s="4" t="inlineStr">
        <is>
          <t>Llamada a call center</t>
        </is>
      </c>
      <c r="G56" s="4" t="inlineStr">
        <is>
          <t>2014-06-22</t>
        </is>
      </c>
      <c r="H56" s="4" t="inlineStr">
        <is>
          <t>Error de captura</t>
        </is>
      </c>
      <c r="I56" s="4" t="inlineStr">
        <is>
          <t>Reproceso documental</t>
        </is>
      </c>
      <c r="J56" s="4" t="inlineStr">
        <is>
          <t>Capturaron mal mi informacion y por eso se rechazo el primer intento. Nadie me aviso, yo tuve que preguntar.</t>
        </is>
      </c>
      <c r="K56" s="4" t="inlineStr">
        <is>
          <t>3 intentos. Errores: 2 captura, 0 incompletos, 0 ilegibles. Ventana de captura 19 dias. Estatus: Score Rejected. Sucursal 275.</t>
        </is>
      </c>
    </row>
    <row r="57">
      <c r="A57" s="4" t="inlineStr">
        <is>
          <t>C-053</t>
        </is>
      </c>
      <c r="B57" s="4" t="n">
        <v>39</v>
      </c>
      <c r="C57" s="4" t="inlineStr">
        <is>
          <t>Jalisco</t>
        </is>
      </c>
      <c r="D57" s="4" t="n">
        <v>126</v>
      </c>
      <c r="E57" s="4" t="n">
        <v>3</v>
      </c>
      <c r="F57" s="4" t="inlineStr">
        <is>
          <t>Queja escrita</t>
        </is>
      </c>
      <c r="G57" s="4" t="inlineStr">
        <is>
          <t>2015-11-26</t>
        </is>
      </c>
      <c r="H57" s="4" t="inlineStr">
        <is>
          <t>Error de captura</t>
        </is>
      </c>
      <c r="I57" s="4" t="inlineStr">
        <is>
          <t>Tiempo de ciclo</t>
        </is>
      </c>
      <c r="J57" s="4" t="inlineStr">
        <is>
          <t>Me dijeron que hubo un error al capturar mis datos. Van 2 veces con el mismo problema en la sucursal 126.</t>
        </is>
      </c>
      <c r="K57" s="4" t="inlineStr">
        <is>
          <t>3 intentos. Errores: 2 captura, 0 incompletos, 0 ilegibles. Ventana de captura 50 dias. Estatus: Card Sent. Sucursal 126.</t>
        </is>
      </c>
    </row>
    <row r="58">
      <c r="A58" s="4" t="inlineStr">
        <is>
          <t>C-054</t>
        </is>
      </c>
      <c r="B58" s="4" t="n">
        <v>472</v>
      </c>
      <c r="C58" s="4" t="inlineStr">
        <is>
          <t>D.F.</t>
        </is>
      </c>
      <c r="D58" s="4" t="n">
        <v>676</v>
      </c>
      <c r="E58" s="4" t="n">
        <v>3</v>
      </c>
      <c r="F58" s="4" t="inlineStr">
        <is>
          <t>Llamada a call center</t>
        </is>
      </c>
      <c r="G58" s="4" t="inlineStr">
        <is>
          <t>2015-06-30</t>
        </is>
      </c>
      <c r="H58" s="4" t="inlineStr">
        <is>
          <t>Error de captura</t>
        </is>
      </c>
      <c r="I58" s="4" t="inlineStr">
        <is>
          <t>Tiempo de ciclo</t>
        </is>
      </c>
      <c r="J58" s="4" t="inlineStr">
        <is>
          <t>El ejecutivo teclea mal mis datos y el costo de corregirlo lo pago yo con mi tiempo. Van 2 errores de captura.</t>
        </is>
      </c>
      <c r="K58" s="4" t="inlineStr">
        <is>
          <t>3 intentos. Errores: 2 captura, 0 incompletos, 0 ilegibles. Ventana de captura 49 dias. Estatus: Authorized. Sucursal 676.</t>
        </is>
      </c>
    </row>
    <row r="59">
      <c r="A59" s="4" t="inlineStr">
        <is>
          <t>C-055</t>
        </is>
      </c>
      <c r="B59" s="4" t="n">
        <v>360</v>
      </c>
      <c r="C59" s="4" t="inlineStr">
        <is>
          <t>Veracruz</t>
        </is>
      </c>
      <c r="D59" s="4" t="n">
        <v>416</v>
      </c>
      <c r="E59" s="4" t="n">
        <v>4</v>
      </c>
      <c r="F59" s="4" t="inlineStr">
        <is>
          <t>Queja escrita</t>
        </is>
      </c>
      <c r="G59" s="4" t="inlineStr">
        <is>
          <t>2015-07-12</t>
        </is>
      </c>
      <c r="H59" s="4" t="inlineStr">
        <is>
          <t>Error de captura</t>
        </is>
      </c>
      <c r="I59" s="4" t="inlineStr">
        <is>
          <t>Tiempo de ciclo</t>
        </is>
      </c>
      <c r="J59" s="4" t="inlineStr">
        <is>
          <t>Dos errores de captura seguidos en la misma solicitud. Mi nombre venia mal escrito las dos veces.</t>
        </is>
      </c>
      <c r="K59" s="4" t="inlineStr">
        <is>
          <t>4 intentos. Errores: 2 captura, 0 incompletos, 1 ilegibles. Ventana de captura 73 dias. Estatus: Bureau Rejected. Sucursal 416.</t>
        </is>
      </c>
    </row>
    <row r="60">
      <c r="A60" s="4" t="inlineStr">
        <is>
          <t>C-056</t>
        </is>
      </c>
      <c r="B60" s="4" t="n">
        <v>839</v>
      </c>
      <c r="C60" s="4" t="inlineStr">
        <is>
          <t>Nuevo León</t>
        </is>
      </c>
      <c r="D60" s="4" t="n">
        <v>256</v>
      </c>
      <c r="E60" s="4" t="n">
        <v>3</v>
      </c>
      <c r="F60" s="4" t="inlineStr">
        <is>
          <t>Queja escrita</t>
        </is>
      </c>
      <c r="G60" s="4" t="inlineStr">
        <is>
          <t>2015-02-23</t>
        </is>
      </c>
      <c r="H60" s="4" t="inlineStr">
        <is>
          <t>Caso atorado</t>
        </is>
      </c>
      <c r="I60" s="4" t="inlineStr">
        <is>
          <t>Error de captura</t>
        </is>
      </c>
      <c r="J60" s="4" t="inlineStr">
        <is>
          <t>Mi solicitud fue autorizada y ahi se quedo. No hay tarjeta, no hay explicacion, no hay a quien preguntar.</t>
        </is>
      </c>
      <c r="K60" s="4" t="inlineStr">
        <is>
          <t>3 intentos. Errores: 2 captura, 0 incompletos, 0 ilegibles. Ventana de captura 14 dias. Estatus: Authorized. Sucursal 256.</t>
        </is>
      </c>
    </row>
    <row r="61">
      <c r="A61" s="4" t="inlineStr">
        <is>
          <t>C-057</t>
        </is>
      </c>
      <c r="B61" s="4" t="n">
        <v>896</v>
      </c>
      <c r="C61" s="4" t="inlineStr">
        <is>
          <t>Veracruz</t>
        </is>
      </c>
      <c r="D61" s="4" t="n">
        <v>446</v>
      </c>
      <c r="E61" s="4" t="n">
        <v>5</v>
      </c>
      <c r="F61" s="4" t="inlineStr">
        <is>
          <t>Redes sociales</t>
        </is>
      </c>
      <c r="G61" s="4" t="inlineStr">
        <is>
          <t>2015-01-12</t>
        </is>
      </c>
      <c r="H61" s="4" t="inlineStr">
        <is>
          <t>Caso atorado</t>
        </is>
      </c>
      <c r="I61" s="4" t="inlineStr">
        <is>
          <t>Tiempo de ciclo</t>
        </is>
      </c>
      <c r="J61" s="4" t="inlineStr">
        <is>
          <t>Mi solicitud fue autorizada y ahi se quedo. No hay tarjeta, no hay explicacion, no hay a quien preguntar.</t>
        </is>
      </c>
      <c r="K61" s="4" t="inlineStr">
        <is>
          <t>5 intentos. Errores: 3 captura, 1 incompletos, 0 ilegibles. Ventana de captura 89 dias. Estatus: Authorized. Sucursal 446.</t>
        </is>
      </c>
    </row>
    <row r="62">
      <c r="A62" s="4" t="inlineStr">
        <is>
          <t>C-058</t>
        </is>
      </c>
      <c r="B62" s="4" t="n">
        <v>929</v>
      </c>
      <c r="C62" s="4" t="inlineStr">
        <is>
          <t>D.F.</t>
        </is>
      </c>
      <c r="D62" s="4" t="n">
        <v>631</v>
      </c>
      <c r="E62" s="4" t="n">
        <v>3</v>
      </c>
      <c r="F62" s="4" t="inlineStr">
        <is>
          <t>Encuesta post-venta</t>
        </is>
      </c>
      <c r="G62" s="4" t="inlineStr">
        <is>
          <t>2014-11-16</t>
        </is>
      </c>
      <c r="H62" s="4" t="inlineStr">
        <is>
          <t>Caso atorado</t>
        </is>
      </c>
      <c r="I62" s="4" t="inlineStr">
        <is>
          <t>Tiempo de ciclo</t>
        </is>
      </c>
      <c r="J62" s="4" t="inlineStr">
        <is>
          <t>Me autorizaron y nadie me ha vuelto a llamar. Cuando marco me dicen que esta en proceso, sin mas detalle.</t>
        </is>
      </c>
      <c r="K62" s="4" t="inlineStr">
        <is>
          <t>3 intentos. Errores: 1 captura, 0 incompletos, 1 ilegibles. Ventana de captura 78 dias. Estatus: Authorized. Sucursal 631.</t>
        </is>
      </c>
    </row>
    <row r="63">
      <c r="A63" s="4" t="inlineStr">
        <is>
          <t>C-059</t>
        </is>
      </c>
      <c r="B63" s="4" t="n">
        <v>286</v>
      </c>
      <c r="C63" s="4" t="inlineStr">
        <is>
          <t>Edo Mex</t>
        </is>
      </c>
      <c r="D63" s="4" t="n">
        <v>214</v>
      </c>
      <c r="E63" s="4" t="n">
        <v>3</v>
      </c>
      <c r="F63" s="4" t="inlineStr">
        <is>
          <t>Queja escrita</t>
        </is>
      </c>
      <c r="G63" s="4" t="inlineStr">
        <is>
          <t>2015-03-15</t>
        </is>
      </c>
      <c r="H63" s="4" t="inlineStr">
        <is>
          <t>Caso atorado</t>
        </is>
      </c>
      <c r="I63" s="4" t="inlineStr">
        <is>
          <t>Reproceso documental</t>
        </is>
      </c>
      <c r="J63" s="4" t="inlineStr">
        <is>
          <t>Aprobaron mi credito y luego silencio total. Ya no se si cancelar o seguir esperando.</t>
        </is>
      </c>
      <c r="K63" s="4" t="inlineStr">
        <is>
          <t>3 intentos. Errores: 0 captura, 2 incompletos, 0 ilegibles. Ventana de captura 22 dias. Estatus: Authorized. Sucursal 214.</t>
        </is>
      </c>
    </row>
    <row r="64">
      <c r="A64" s="4" t="inlineStr">
        <is>
          <t>C-060</t>
        </is>
      </c>
      <c r="B64" s="4" t="n">
        <v>249</v>
      </c>
      <c r="C64" s="4" t="inlineStr">
        <is>
          <t>D.F.</t>
        </is>
      </c>
      <c r="D64" s="4" t="n">
        <v>413</v>
      </c>
      <c r="E64" s="4" t="n">
        <v>2</v>
      </c>
      <c r="F64" s="4" t="inlineStr">
        <is>
          <t>Llamada a call center</t>
        </is>
      </c>
      <c r="G64" s="4" t="inlineStr">
        <is>
          <t>2014-12-20</t>
        </is>
      </c>
      <c r="H64" s="4" t="inlineStr">
        <is>
          <t>Caso atorado</t>
        </is>
      </c>
      <c r="I64" s="4" t="inlineStr"/>
      <c r="J64" s="4" t="inlineStr">
        <is>
          <t>El ejecutivo me dijo que ya estaba lista. En el call center me dicen que no aparece enviada.</t>
        </is>
      </c>
      <c r="K64" s="4" t="inlineStr">
        <is>
          <t>2 intentos. Errores: 1 captura, 0 incompletos, 0 ilegibles. Ventana de captura 12 dias. Estatus: Score Accepted. Sucursal 413.</t>
        </is>
      </c>
    </row>
    <row r="65">
      <c r="A65" s="4" t="inlineStr">
        <is>
          <t>C-061</t>
        </is>
      </c>
      <c r="B65" s="4" t="n">
        <v>93</v>
      </c>
      <c r="C65" s="4" t="inlineStr">
        <is>
          <t>D.F.</t>
        </is>
      </c>
      <c r="D65" s="4" t="n">
        <v>631</v>
      </c>
      <c r="E65" s="4" t="n">
        <v>2</v>
      </c>
      <c r="F65" s="4" t="inlineStr">
        <is>
          <t>Encuesta post-venta</t>
        </is>
      </c>
      <c r="G65" s="4" t="inlineStr">
        <is>
          <t>2015-02-08</t>
        </is>
      </c>
      <c r="H65" s="4" t="inlineStr">
        <is>
          <t>Caso atorado</t>
        </is>
      </c>
      <c r="I65" s="4" t="inlineStr"/>
      <c r="J65" s="4" t="inlineStr">
        <is>
          <t>Mi solicitud fue autorizada y ahi se quedo. No hay tarjeta, no hay explicacion, no hay a quien preguntar.</t>
        </is>
      </c>
      <c r="K65" s="4" t="inlineStr">
        <is>
          <t>2 intentos. Errores: 1 captura, 0 incompletos, 0 ilegibles. Ventana de captura 18 dias. Estatus: Score Accepted. Sucursal 631.</t>
        </is>
      </c>
    </row>
    <row r="66">
      <c r="A66" s="4" t="inlineStr">
        <is>
          <t>C-062</t>
        </is>
      </c>
      <c r="B66" s="4" t="n">
        <v>868</v>
      </c>
      <c r="C66" s="4" t="inlineStr">
        <is>
          <t>Chiapas</t>
        </is>
      </c>
      <c r="D66" s="4" t="n">
        <v>352</v>
      </c>
      <c r="E66" s="4" t="n">
        <v>2</v>
      </c>
      <c r="F66" s="4" t="inlineStr">
        <is>
          <t>Redes sociales</t>
        </is>
      </c>
      <c r="G66" s="4" t="inlineStr">
        <is>
          <t>2014-07-17</t>
        </is>
      </c>
      <c r="H66" s="4" t="inlineStr">
        <is>
          <t>Caso atorado</t>
        </is>
      </c>
      <c r="I66" s="4" t="inlineStr"/>
      <c r="J66" s="4" t="inlineStr">
        <is>
          <t>Aprobaron mi credito y luego silencio total. Ya no se si cancelar o seguir esperando.</t>
        </is>
      </c>
      <c r="K66" s="4" t="inlineStr">
        <is>
          <t>2 intentos. Errores: 0 captura, 1 incompletos, 0 ilegibles. Ventana de captura 16 dias. Estatus: Score Accepted. Sucursal 352.</t>
        </is>
      </c>
    </row>
    <row r="67">
      <c r="A67" s="4" t="inlineStr">
        <is>
          <t>C-063</t>
        </is>
      </c>
      <c r="B67" s="4" t="n">
        <v>777</v>
      </c>
      <c r="C67" s="4" t="inlineStr">
        <is>
          <t>D.F.</t>
        </is>
      </c>
      <c r="D67" s="4" t="n">
        <v>676</v>
      </c>
      <c r="E67" s="4" t="n">
        <v>4</v>
      </c>
      <c r="F67" s="4" t="inlineStr">
        <is>
          <t>Encuesta post-venta</t>
        </is>
      </c>
      <c r="G67" s="4" t="inlineStr">
        <is>
          <t>2015-10-04</t>
        </is>
      </c>
      <c r="H67" s="4" t="inlineStr">
        <is>
          <t>Caso atorado</t>
        </is>
      </c>
      <c r="I67" s="4" t="inlineStr">
        <is>
          <t>Tiempo de ciclo</t>
        </is>
      </c>
      <c r="J67" s="4" t="inlineStr">
        <is>
          <t>Aprobaron mi credito y luego silencio total. Ya no se si cancelar o seguir esperando.</t>
        </is>
      </c>
      <c r="K67" s="4" t="inlineStr">
        <is>
          <t>4 intentos. Errores: 1 captura, 0 incompletos, 2 ilegibles. Ventana de captura 41 dias. Estatus: Authorized. Sucursal 676.</t>
        </is>
      </c>
    </row>
    <row r="68">
      <c r="A68" s="4" t="inlineStr">
        <is>
          <t>C-064</t>
        </is>
      </c>
      <c r="B68" s="4" t="n">
        <v>382</v>
      </c>
      <c r="C68" s="4" t="inlineStr">
        <is>
          <t>D.F.</t>
        </is>
      </c>
      <c r="D68" s="4" t="n">
        <v>631</v>
      </c>
      <c r="E68" s="4" t="n">
        <v>2</v>
      </c>
      <c r="F68" s="4" t="inlineStr">
        <is>
          <t>Redes sociales</t>
        </is>
      </c>
      <c r="G68" s="4" t="inlineStr">
        <is>
          <t>2014-11-27</t>
        </is>
      </c>
      <c r="H68" s="4" t="inlineStr">
        <is>
          <t>Caso atorado</t>
        </is>
      </c>
      <c r="I68" s="4" t="inlineStr">
        <is>
          <t>Tiempo de ciclo</t>
        </is>
      </c>
      <c r="J68" s="4" t="inlineStr">
        <is>
          <t>Me confirmaron la aprobacion por telefono. De eso ya pasaron 46 dias y sigo sin tarjeta.</t>
        </is>
      </c>
      <c r="K68" s="4" t="inlineStr">
        <is>
          <t>2 intentos. Errores: 1 captura, 0 incompletos, 0 ilegibles. Ventana de captura 46 dias. Estatus: Score Accepted. Sucursal 631.</t>
        </is>
      </c>
    </row>
    <row r="69">
      <c r="A69" s="4" t="inlineStr">
        <is>
          <t>C-065</t>
        </is>
      </c>
      <c r="B69" s="4" t="n">
        <v>1149</v>
      </c>
      <c r="C69" s="4" t="inlineStr">
        <is>
          <t>D.F.</t>
        </is>
      </c>
      <c r="D69" s="4" t="n">
        <v>676</v>
      </c>
      <c r="E69" s="4" t="n">
        <v>3</v>
      </c>
      <c r="F69" s="4" t="inlineStr">
        <is>
          <t>Encuesta post-venta</t>
        </is>
      </c>
      <c r="G69" s="4" t="inlineStr">
        <is>
          <t>2014-07-04</t>
        </is>
      </c>
      <c r="H69" s="4" t="inlineStr">
        <is>
          <t>Caso atorado</t>
        </is>
      </c>
      <c r="I69" s="4" t="inlineStr">
        <is>
          <t>Error de captura</t>
        </is>
      </c>
      <c r="J69" s="4" t="inlineStr">
        <is>
          <t>Ya me aprobaron la linea de 59,300 pesos hace semanas pero el plastico nunca llego.</t>
        </is>
      </c>
      <c r="K69" s="4" t="inlineStr">
        <is>
          <t>3 intentos. Errores: 2 captura, 0 incompletos, 0 ilegibles. Ventana de captura 24 dias. Estatus: Authorized. Sucursal 676.</t>
        </is>
      </c>
    </row>
    <row r="70">
      <c r="A70" s="4" t="inlineStr">
        <is>
          <t>C-066</t>
        </is>
      </c>
      <c r="B70" s="4" t="n">
        <v>1385</v>
      </c>
      <c r="C70" s="4" t="inlineStr">
        <is>
          <t>D.F.</t>
        </is>
      </c>
      <c r="D70" s="4" t="n">
        <v>676</v>
      </c>
      <c r="E70" s="4" t="n">
        <v>4</v>
      </c>
      <c r="F70" s="4" t="inlineStr">
        <is>
          <t>Redes sociales</t>
        </is>
      </c>
      <c r="G70" s="4" t="inlineStr">
        <is>
          <t>2015-07-29</t>
        </is>
      </c>
      <c r="H70" s="4" t="inlineStr">
        <is>
          <t>Caso atorado</t>
        </is>
      </c>
      <c r="I70" s="4" t="inlineStr">
        <is>
          <t>Tiempo de ciclo</t>
        </is>
      </c>
      <c r="J70" s="4" t="inlineStr">
        <is>
          <t>Aprobaron mi credito y luego silencio total. Ya no se si cancelar o seguir esperando.</t>
        </is>
      </c>
      <c r="K70" s="4" t="inlineStr">
        <is>
          <t>4 intentos. Errores: 0 captura, 0 incompletos, 3 ilegibles. Ventana de captura 99 dias. Estatus: Score Accepted. Sucursal 676.</t>
        </is>
      </c>
    </row>
    <row r="71">
      <c r="A71" s="4" t="inlineStr">
        <is>
          <t>C-067</t>
        </is>
      </c>
      <c r="B71" s="4" t="n">
        <v>1083</v>
      </c>
      <c r="C71" s="4" t="inlineStr">
        <is>
          <t>Jalisco</t>
        </is>
      </c>
      <c r="D71" s="4" t="n">
        <v>728</v>
      </c>
      <c r="E71" s="4" t="n">
        <v>4</v>
      </c>
      <c r="F71" s="4" t="inlineStr">
        <is>
          <t>Llamada a call center</t>
        </is>
      </c>
      <c r="G71" s="4" t="inlineStr">
        <is>
          <t>2015-05-22</t>
        </is>
      </c>
      <c r="H71" s="4" t="inlineStr">
        <is>
          <t>Caso atorado</t>
        </is>
      </c>
      <c r="I71" s="4" t="inlineStr">
        <is>
          <t>Tiempo de ciclo</t>
        </is>
      </c>
      <c r="J71" s="4" t="inlineStr">
        <is>
          <t>Ya me aprobaron la linea de 62,600 pesos hace semanas pero el plastico nunca llego.</t>
        </is>
      </c>
      <c r="K71" s="4" t="inlineStr">
        <is>
          <t>4 intentos. Errores: 2 captura, 1 incompletos, 0 ilegibles. Ventana de captura 62 dias. Estatus: Score Accepted. Sucursal 728.</t>
        </is>
      </c>
    </row>
    <row r="72">
      <c r="A72" s="4" t="inlineStr">
        <is>
          <t>C-068</t>
        </is>
      </c>
      <c r="B72" s="4" t="n">
        <v>1491</v>
      </c>
      <c r="C72" s="4" t="inlineStr">
        <is>
          <t>Edo Mex</t>
        </is>
      </c>
      <c r="D72" s="4" t="n">
        <v>214</v>
      </c>
      <c r="E72" s="4" t="n">
        <v>1</v>
      </c>
      <c r="F72" s="4" t="inlineStr">
        <is>
          <t>Encuesta post-venta</t>
        </is>
      </c>
      <c r="G72" s="4" t="inlineStr">
        <is>
          <t>2014-06-14</t>
        </is>
      </c>
      <c r="H72" s="4" t="inlineStr">
        <is>
          <t>Caso atorado</t>
        </is>
      </c>
      <c r="I72" s="4" t="inlineStr"/>
      <c r="J72" s="4" t="inlineStr">
        <is>
          <t>El ejecutivo me dijo que ya estaba lista. En el call center me dicen que no aparece enviada.</t>
        </is>
      </c>
      <c r="K72" s="4" t="inlineStr">
        <is>
          <t>1 intentos. Errores: 0 captura, 0 incompletos, 0 ilegibles. Ventana de captura 0 dias. Estatus: Score Accepted. Sucursal 214.</t>
        </is>
      </c>
    </row>
    <row r="73">
      <c r="A73" s="4" t="inlineStr">
        <is>
          <t>C-069</t>
        </is>
      </c>
      <c r="B73" s="4" t="n">
        <v>306</v>
      </c>
      <c r="C73" s="4" t="inlineStr">
        <is>
          <t>Jalisco</t>
        </is>
      </c>
      <c r="D73" s="4" t="n">
        <v>126</v>
      </c>
      <c r="E73" s="4" t="n">
        <v>3</v>
      </c>
      <c r="F73" s="4" t="inlineStr">
        <is>
          <t>Llamada a call center</t>
        </is>
      </c>
      <c r="G73" s="4" t="inlineStr">
        <is>
          <t>2015-12-21</t>
        </is>
      </c>
      <c r="H73" s="4" t="inlineStr">
        <is>
          <t>Tiempo de ciclo</t>
        </is>
      </c>
      <c r="I73" s="4" t="inlineStr">
        <is>
          <t>Reproceso documental</t>
        </is>
      </c>
      <c r="J73" s="4" t="inlineStr">
        <is>
          <t>Mas de dos meses de tramite. Si me hubieran dicho desde el inicio, no lo empiezo.</t>
        </is>
      </c>
      <c r="K73" s="4" t="inlineStr">
        <is>
          <t>3 intentos. Errores: 0 captura, 1 incompletos, 1 ilegibles. Ventana de captura 54 dias. Estatus: Bureau Rejected. Sucursal 126.</t>
        </is>
      </c>
    </row>
    <row r="74">
      <c r="A74" s="4" t="inlineStr">
        <is>
          <t>C-070</t>
        </is>
      </c>
      <c r="B74" s="4" t="n">
        <v>597</v>
      </c>
      <c r="C74" s="4" t="inlineStr">
        <is>
          <t>D.F.</t>
        </is>
      </c>
      <c r="D74" s="4" t="n">
        <v>413</v>
      </c>
      <c r="E74" s="4" t="n">
        <v>3</v>
      </c>
      <c r="F74" s="4" t="inlineStr">
        <is>
          <t>Llamada a call center</t>
        </is>
      </c>
      <c r="G74" s="4" t="inlineStr">
        <is>
          <t>2015-11-22</t>
        </is>
      </c>
      <c r="H74" s="4" t="inlineStr">
        <is>
          <t>Tiempo de ciclo</t>
        </is>
      </c>
      <c r="I74" s="4" t="inlineStr">
        <is>
          <t>Reproceso documental</t>
        </is>
      </c>
      <c r="J74" s="4" t="inlineStr">
        <is>
          <t>82 dias para una tarjeta. En ese tiempo ya cambie de necesidad, ya no me sirve.</t>
        </is>
      </c>
      <c r="K74" s="4" t="inlineStr">
        <is>
          <t>3 intentos. Errores: 0 captura, 0 incompletos, 1 ilegibles. Ventana de captura 82 dias. Estatus: Card Sent. Sucursal 413.</t>
        </is>
      </c>
    </row>
    <row r="75">
      <c r="A75" s="4" t="inlineStr">
        <is>
          <t>C-071</t>
        </is>
      </c>
      <c r="B75" s="4" t="n">
        <v>909</v>
      </c>
      <c r="C75" s="4" t="inlineStr">
        <is>
          <t>Jalisco</t>
        </is>
      </c>
      <c r="D75" s="4" t="n">
        <v>728</v>
      </c>
      <c r="E75" s="4" t="n">
        <v>4</v>
      </c>
      <c r="F75" s="4" t="inlineStr">
        <is>
          <t>Llamada a call center</t>
        </is>
      </c>
      <c r="G75" s="4" t="inlineStr">
        <is>
          <t>2014-12-14</t>
        </is>
      </c>
      <c r="H75" s="4" t="inlineStr">
        <is>
          <t>Tiempo de ciclo</t>
        </is>
      </c>
      <c r="I75" s="4" t="inlineStr">
        <is>
          <t>Caso atorado</t>
        </is>
      </c>
      <c r="J75" s="4" t="inlineStr">
        <is>
          <t>El proceso se siente eterno. Nadie me da una fecha, solo me dicen que esta en revision.</t>
        </is>
      </c>
      <c r="K75" s="4" t="inlineStr">
        <is>
          <t>4 intentos. Errores: 2 captura, 1 incompletos, 0 ilegibles. Ventana de captura 85 dias. Estatus: Authorized. Sucursal 728.</t>
        </is>
      </c>
    </row>
    <row r="76">
      <c r="A76" s="4" t="inlineStr">
        <is>
          <t>C-072</t>
        </is>
      </c>
      <c r="B76" s="4" t="n">
        <v>789</v>
      </c>
      <c r="C76" s="4" t="inlineStr">
        <is>
          <t>Edo Mex</t>
        </is>
      </c>
      <c r="D76" s="4" t="n">
        <v>110</v>
      </c>
      <c r="E76" s="4" t="n">
        <v>2</v>
      </c>
      <c r="F76" s="4" t="inlineStr">
        <is>
          <t>Redes sociales</t>
        </is>
      </c>
      <c r="G76" s="4" t="inlineStr">
        <is>
          <t>2014-09-05</t>
        </is>
      </c>
      <c r="H76" s="4" t="inlineStr">
        <is>
          <t>Tiempo de ciclo</t>
        </is>
      </c>
      <c r="I76" s="4" t="inlineStr"/>
      <c r="J76" s="4" t="inlineStr">
        <is>
          <t>70 dias para una tarjeta. En ese tiempo ya cambie de necesidad, ya no me sirve.</t>
        </is>
      </c>
      <c r="K76" s="4" t="inlineStr">
        <is>
          <t>2 intentos. Errores: 0 captura, 1 incompletos, 0 ilegibles. Ventana de captura 70 dias. Estatus: Card Sent. Sucursal 110.</t>
        </is>
      </c>
    </row>
    <row r="77">
      <c r="A77" s="4" t="inlineStr">
        <is>
          <t>C-073</t>
        </is>
      </c>
      <c r="B77" s="4" t="n">
        <v>341</v>
      </c>
      <c r="C77" s="4" t="inlineStr">
        <is>
          <t>Edo Mex</t>
        </is>
      </c>
      <c r="D77" s="4" t="n">
        <v>110</v>
      </c>
      <c r="E77" s="4" t="n">
        <v>2</v>
      </c>
      <c r="F77" s="4" t="inlineStr">
        <is>
          <t>Llamada a call center</t>
        </is>
      </c>
      <c r="G77" s="4" t="inlineStr">
        <is>
          <t>2015-06-24</t>
        </is>
      </c>
      <c r="H77" s="4" t="inlineStr">
        <is>
          <t>Tiempo de ciclo</t>
        </is>
      </c>
      <c r="I77" s="4" t="inlineStr"/>
      <c r="J77" s="4" t="inlineStr">
        <is>
          <t>Mas de dos meses de tramite. Si me hubieran dicho desde el inicio, no lo empiezo.</t>
        </is>
      </c>
      <c r="K77" s="4" t="inlineStr">
        <is>
          <t>2 intentos. Errores: 1 captura, 0 incompletos, 0 ilegibles. Ventana de captura 70 dias. Estatus: Card Sent. Sucursal 110.</t>
        </is>
      </c>
    </row>
    <row r="78">
      <c r="A78" s="4" t="inlineStr">
        <is>
          <t>C-074</t>
        </is>
      </c>
      <c r="B78" s="4" t="n">
        <v>917</v>
      </c>
      <c r="C78" s="4" t="inlineStr">
        <is>
          <t>Edo Mex</t>
        </is>
      </c>
      <c r="D78" s="4" t="n">
        <v>692</v>
      </c>
      <c r="E78" s="4" t="n">
        <v>4</v>
      </c>
      <c r="F78" s="4" t="inlineStr">
        <is>
          <t>Llamada a call center</t>
        </is>
      </c>
      <c r="G78" s="4" t="inlineStr">
        <is>
          <t>2016-01-01</t>
        </is>
      </c>
      <c r="H78" s="4" t="inlineStr">
        <is>
          <t>Tiempo de ciclo</t>
        </is>
      </c>
      <c r="I78" s="4" t="inlineStr">
        <is>
          <t>Error de captura</t>
        </is>
      </c>
      <c r="J78" s="4" t="inlineStr">
        <is>
          <t>Entregue mi solicitud el 24 de octubre y todavia no se resuelve. Son 54 dias por una tarjeta de credito.</t>
        </is>
      </c>
      <c r="K78" s="4" t="inlineStr">
        <is>
          <t>4 intentos. Errores: 2 captura, 1 incompletos, 0 ilegibles. Ventana de captura 54 dias. Estatus: Card Sent. Sucursal 692.</t>
        </is>
      </c>
    </row>
    <row r="79">
      <c r="A79" s="4" t="inlineStr">
        <is>
          <t>C-075</t>
        </is>
      </c>
      <c r="B79" s="4" t="n">
        <v>135</v>
      </c>
      <c r="C79" s="4" t="inlineStr">
        <is>
          <t>Veracruz</t>
        </is>
      </c>
      <c r="D79" s="4" t="n">
        <v>416</v>
      </c>
      <c r="E79" s="4" t="n">
        <v>4</v>
      </c>
      <c r="F79" s="4" t="inlineStr">
        <is>
          <t>Llamada a call center</t>
        </is>
      </c>
      <c r="G79" s="4" t="inlineStr">
        <is>
          <t>2014-10-21</t>
        </is>
      </c>
      <c r="H79" s="4" t="inlineStr">
        <is>
          <t>Tiempo de ciclo</t>
        </is>
      </c>
      <c r="I79" s="4" t="inlineStr">
        <is>
          <t>Caso atorado</t>
        </is>
      </c>
      <c r="J79" s="4" t="inlineStr">
        <is>
          <t>En otro banco me resolvieron en una semana. Aqui llevo 57 dias.</t>
        </is>
      </c>
      <c r="K79" s="4" t="inlineStr">
        <is>
          <t>4 intentos. Errores: 2 captura, 1 incompletos, 0 ilegibles. Ventana de captura 57 dias. Estatus: Score Accepted. Sucursal 416.</t>
        </is>
      </c>
    </row>
    <row r="80">
      <c r="A80" s="4" t="inlineStr">
        <is>
          <t>C-076</t>
        </is>
      </c>
      <c r="B80" s="4" t="n">
        <v>443</v>
      </c>
      <c r="C80" s="4" t="inlineStr">
        <is>
          <t>Jalisco</t>
        </is>
      </c>
      <c r="D80" s="4" t="n">
        <v>728</v>
      </c>
      <c r="E80" s="4" t="n">
        <v>4</v>
      </c>
      <c r="F80" s="4" t="inlineStr">
        <is>
          <t>Queja escrita</t>
        </is>
      </c>
      <c r="G80" s="4" t="inlineStr">
        <is>
          <t>2014-11-23</t>
        </is>
      </c>
      <c r="H80" s="4" t="inlineStr">
        <is>
          <t>Tiempo de ciclo</t>
        </is>
      </c>
      <c r="I80" s="4" t="inlineStr">
        <is>
          <t>Reproceso documental</t>
        </is>
      </c>
      <c r="J80" s="4" t="inlineStr">
        <is>
          <t>En otro banco me resolvieron en una semana. Aqui llevo 71 dias.</t>
        </is>
      </c>
      <c r="K80" s="4" t="inlineStr">
        <is>
          <t>4 intentos. Errores: 1 captura, 1 incompletos, 1 ilegibles. Ventana de captura 71 dias. Estatus: Bureau Rejected. Sucursal 728.</t>
        </is>
      </c>
    </row>
    <row r="81">
      <c r="A81" s="4" t="inlineStr">
        <is>
          <t>C-077</t>
        </is>
      </c>
      <c r="B81" s="4" t="n">
        <v>1089</v>
      </c>
      <c r="C81" s="4" t="inlineStr">
        <is>
          <t>D.F.</t>
        </is>
      </c>
      <c r="D81" s="4" t="n">
        <v>413</v>
      </c>
      <c r="E81" s="4" t="n">
        <v>2</v>
      </c>
      <c r="F81" s="4" t="inlineStr">
        <is>
          <t>Redes sociales</t>
        </is>
      </c>
      <c r="G81" s="4" t="inlineStr">
        <is>
          <t>2014-11-28</t>
        </is>
      </c>
      <c r="H81" s="4" t="inlineStr">
        <is>
          <t>Tiempo de ciclo</t>
        </is>
      </c>
      <c r="I81" s="4" t="inlineStr"/>
      <c r="J81" s="4" t="inlineStr">
        <is>
          <t>Entregue mi solicitud el 9 de septiembre y todavia no se resuelve. Son 70 dias por una tarjeta de credito.</t>
        </is>
      </c>
      <c r="K81" s="4" t="inlineStr">
        <is>
          <t>2 intentos. Errores: 0 captura, 0 incompletos, 1 ilegibles. Ventana de captura 70 dias. Estatus: Bureau Rejected. Sucursal 413.</t>
        </is>
      </c>
    </row>
    <row r="82">
      <c r="A82" s="4" t="inlineStr">
        <is>
          <t>C-078</t>
        </is>
      </c>
      <c r="B82" s="4" t="n">
        <v>733</v>
      </c>
      <c r="C82" s="4" t="inlineStr">
        <is>
          <t>Jalisco</t>
        </is>
      </c>
      <c r="D82" s="4" t="n">
        <v>126</v>
      </c>
      <c r="E82" s="4" t="n">
        <v>2</v>
      </c>
      <c r="F82" s="4" t="inlineStr">
        <is>
          <t>Redes sociales</t>
        </is>
      </c>
      <c r="G82" s="4" t="inlineStr">
        <is>
          <t>2015-04-22</t>
        </is>
      </c>
      <c r="H82" s="4" t="inlineStr">
        <is>
          <t>Tiempo de ciclo</t>
        </is>
      </c>
      <c r="I82" s="4" t="inlineStr"/>
      <c r="J82" s="4" t="inlineStr">
        <is>
          <t>70 dias para una tarjeta. En ese tiempo ya cambie de necesidad, ya no me sirve.</t>
        </is>
      </c>
      <c r="K82" s="4" t="inlineStr">
        <is>
          <t>2 intentos. Errores: 0 captura, 1 incompletos, 0 ilegibles. Ventana de captura 70 dias. Estatus: Bureau Rejected. Sucursal 126.</t>
        </is>
      </c>
    </row>
    <row r="83">
      <c r="A83" s="4" t="inlineStr">
        <is>
          <t>C-079</t>
        </is>
      </c>
      <c r="B83" s="4" t="n">
        <v>974</v>
      </c>
      <c r="C83" s="4" t="inlineStr">
        <is>
          <t>D.F.</t>
        </is>
      </c>
      <c r="D83" s="4" t="n">
        <v>413</v>
      </c>
      <c r="E83" s="4" t="n">
        <v>3</v>
      </c>
      <c r="F83" s="4" t="inlineStr">
        <is>
          <t>Redes sociales</t>
        </is>
      </c>
      <c r="G83" s="4" t="inlineStr">
        <is>
          <t>2015-06-30</t>
        </is>
      </c>
      <c r="H83" s="4" t="inlineStr">
        <is>
          <t>Rechazo</t>
        </is>
      </c>
      <c r="I83" s="4" t="inlineStr">
        <is>
          <t>Tiempo de ciclo</t>
        </is>
      </c>
      <c r="J83" s="4" t="inlineStr">
        <is>
          <t>Rechazado despues de 3 intentos de entregar documentos. Nadie me explico el criterio.</t>
        </is>
      </c>
      <c r="K83" s="4" t="inlineStr">
        <is>
          <t>3 intentos. Errores: 2 captura, 0 incompletos, 0 ilegibles. Ventana de captura 65 dias. Estatus: Bureau Rejected. Sucursal 413.</t>
        </is>
      </c>
    </row>
    <row r="84">
      <c r="A84" s="4" t="inlineStr">
        <is>
          <t>C-080</t>
        </is>
      </c>
      <c r="B84" s="4" t="n">
        <v>1023</v>
      </c>
      <c r="C84" s="4" t="inlineStr">
        <is>
          <t>Edo Mex</t>
        </is>
      </c>
      <c r="D84" s="4" t="n">
        <v>692</v>
      </c>
      <c r="E84" s="4" t="n">
        <v>2</v>
      </c>
      <c r="F84" s="4" t="inlineStr">
        <is>
          <t>Queja escrita</t>
        </is>
      </c>
      <c r="G84" s="4" t="inlineStr">
        <is>
          <t>2015-06-17</t>
        </is>
      </c>
      <c r="H84" s="4" t="inlineStr">
        <is>
          <t>Rechazo</t>
        </is>
      </c>
      <c r="I84" s="4" t="inlineStr"/>
      <c r="J84" s="4" t="inlineStr">
        <is>
          <t>Si el buro era el problema, pudieron consultarlo antes de pedirme tres veces los mismos papeles.</t>
        </is>
      </c>
      <c r="K84" s="4" t="inlineStr">
        <is>
          <t>2 intentos. Errores: 1 captura, 0 incompletos, 0 ilegibles. Ventana de captura 4 dias. Estatus: Score Rejected. Sucursal 692.</t>
        </is>
      </c>
    </row>
    <row r="85">
      <c r="A85" s="4" t="inlineStr">
        <is>
          <t>C-081</t>
        </is>
      </c>
      <c r="B85" s="4" t="n">
        <v>190</v>
      </c>
      <c r="C85" s="4" t="inlineStr">
        <is>
          <t>D.F.</t>
        </is>
      </c>
      <c r="D85" s="4" t="n">
        <v>275</v>
      </c>
      <c r="E85" s="4" t="n">
        <v>2</v>
      </c>
      <c r="F85" s="4" t="inlineStr">
        <is>
          <t>Queja escrita</t>
        </is>
      </c>
      <c r="G85" s="4" t="inlineStr">
        <is>
          <t>2014-12-10</t>
        </is>
      </c>
      <c r="H85" s="4" t="inlineStr">
        <is>
          <t>Rechazo</t>
        </is>
      </c>
      <c r="I85" s="4" t="inlineStr"/>
      <c r="J85" s="4" t="inlineStr">
        <is>
          <t>Me hicieron correr por documentos durante 14 dias para al final decirme que no. Es una falta de respeto al tiempo del cliente.</t>
        </is>
      </c>
      <c r="K85" s="4" t="inlineStr">
        <is>
          <t>2 intentos. Errores: 1 captura, 0 incompletos, 0 ilegibles. Ventana de captura 14 dias. Estatus: Bureau Rejected. Sucursal 275.</t>
        </is>
      </c>
    </row>
    <row r="86">
      <c r="A86" s="4" t="inlineStr">
        <is>
          <t>C-082</t>
        </is>
      </c>
      <c r="B86" s="4" t="n">
        <v>1392</v>
      </c>
      <c r="C86" s="4" t="inlineStr">
        <is>
          <t>Edo Mex</t>
        </is>
      </c>
      <c r="D86" s="4" t="n">
        <v>110</v>
      </c>
      <c r="E86" s="4" t="n">
        <v>2</v>
      </c>
      <c r="F86" s="4" t="inlineStr">
        <is>
          <t>Queja escrita</t>
        </is>
      </c>
      <c r="G86" s="4" t="inlineStr">
        <is>
          <t>2015-10-09</t>
        </is>
      </c>
      <c r="H86" s="4" t="inlineStr">
        <is>
          <t>Rechazo</t>
        </is>
      </c>
      <c r="I86" s="4" t="inlineStr"/>
      <c r="J86" s="4" t="inlineStr">
        <is>
          <t>Rechazado despues de 2 intentos de entregar documentos. Nadie me explico el criterio.</t>
        </is>
      </c>
      <c r="K86" s="4" t="inlineStr">
        <is>
          <t>2 intentos. Errores: 1 captura, 0 incompletos, 0 ilegibles. Ventana de captura 11 dias. Estatus: Bureau Rejected. Sucursal 110.</t>
        </is>
      </c>
    </row>
    <row r="87">
      <c r="A87" s="4" t="inlineStr">
        <is>
          <t>C-083</t>
        </is>
      </c>
      <c r="B87" s="4" t="n">
        <v>1012</v>
      </c>
      <c r="C87" s="4" t="inlineStr">
        <is>
          <t>D.F.</t>
        </is>
      </c>
      <c r="D87" s="4" t="n">
        <v>275</v>
      </c>
      <c r="E87" s="4" t="n">
        <v>2</v>
      </c>
      <c r="F87" s="4" t="inlineStr">
        <is>
          <t>Llamada a call center</t>
        </is>
      </c>
      <c r="G87" s="4" t="inlineStr">
        <is>
          <t>2014-09-10</t>
        </is>
      </c>
      <c r="H87" s="4" t="inlineStr">
        <is>
          <t>Rechazo</t>
        </is>
      </c>
      <c r="I87" s="4" t="inlineStr"/>
      <c r="J87" s="4" t="inlineStr">
        <is>
          <t>Tengo 6 anos con el banco, buen historial, y me rechazaron por un puntaje que nadie me quiso explicar.</t>
        </is>
      </c>
      <c r="K87" s="4" t="inlineStr">
        <is>
          <t>2 intentos. Errores: 0 captura, 1 incompletos, 0 ilegibles. Ventana de captura 11 dias. Estatus: Bureau Rejected. Sucursal 275.</t>
        </is>
      </c>
    </row>
    <row r="88">
      <c r="A88" s="4" t="inlineStr">
        <is>
          <t>C-084</t>
        </is>
      </c>
      <c r="B88" s="4" t="n">
        <v>803</v>
      </c>
      <c r="C88" s="4" t="inlineStr">
        <is>
          <t>D.F.</t>
        </is>
      </c>
      <c r="D88" s="4" t="n">
        <v>631</v>
      </c>
      <c r="E88" s="4" t="n">
        <v>2</v>
      </c>
      <c r="F88" s="4" t="inlineStr">
        <is>
          <t>Redes sociales</t>
        </is>
      </c>
      <c r="G88" s="4" t="inlineStr">
        <is>
          <t>2015-08-14</t>
        </is>
      </c>
      <c r="H88" s="4" t="inlineStr">
        <is>
          <t>Rechazo</t>
        </is>
      </c>
      <c r="I88" s="4" t="inlineStr"/>
      <c r="J88" s="4" t="inlineStr">
        <is>
          <t>Si el buro era el problema, pudieron consultarlo antes de pedirme tres veces los mismos papeles.</t>
        </is>
      </c>
      <c r="K88" s="4" t="inlineStr">
        <is>
          <t>2 intentos. Errores: 0 captura, 1 incompletos, 0 ilegibles. Ventana de captura 7 dias. Estatus: Bureau Rejected. Sucursal 631.</t>
        </is>
      </c>
    </row>
    <row r="89">
      <c r="A89" s="4" t="inlineStr">
        <is>
          <t>C-085</t>
        </is>
      </c>
      <c r="B89" s="4" t="n">
        <v>1120</v>
      </c>
      <c r="C89" s="4" t="inlineStr">
        <is>
          <t>Jalisco</t>
        </is>
      </c>
      <c r="D89" s="4" t="n">
        <v>728</v>
      </c>
      <c r="E89" s="4" t="n">
        <v>4</v>
      </c>
      <c r="F89" s="4" t="inlineStr">
        <is>
          <t>Encuesta post-venta</t>
        </is>
      </c>
      <c r="G89" s="4" t="inlineStr">
        <is>
          <t>2015-07-12</t>
        </is>
      </c>
      <c r="H89" s="4" t="inlineStr">
        <is>
          <t>Rechazo</t>
        </is>
      </c>
      <c r="I89" s="4" t="inlineStr">
        <is>
          <t>Tiempo de ciclo</t>
        </is>
      </c>
      <c r="J89" s="4" t="inlineStr">
        <is>
          <t>Rechazado despues de 4 intentos de entregar documentos. Nadie me explico el criterio.</t>
        </is>
      </c>
      <c r="K89" s="4" t="inlineStr">
        <is>
          <t>4 intentos. Errores: 1 captura, 2 incompletos, 0 ilegibles. Ventana de captura 49 dias. Estatus: Bureau Rejected. Sucursal 728.</t>
        </is>
      </c>
    </row>
    <row r="90">
      <c r="A90" s="4" t="inlineStr">
        <is>
          <t>C-086</t>
        </is>
      </c>
      <c r="B90" s="4" t="n">
        <v>196</v>
      </c>
      <c r="C90" s="4" t="inlineStr">
        <is>
          <t>D.F.</t>
        </is>
      </c>
      <c r="D90" s="4" t="n">
        <v>676</v>
      </c>
      <c r="E90" s="4" t="n">
        <v>4</v>
      </c>
      <c r="F90" s="4" t="inlineStr">
        <is>
          <t>Llamada a call center</t>
        </is>
      </c>
      <c r="G90" s="4" t="inlineStr">
        <is>
          <t>2015-01-01</t>
        </is>
      </c>
      <c r="H90" s="4" t="inlineStr">
        <is>
          <t>Monto de linea</t>
        </is>
      </c>
      <c r="I90" s="4" t="inlineStr">
        <is>
          <t>Tiempo de ciclo</t>
        </is>
      </c>
      <c r="J90" s="4" t="inlineStr">
        <is>
          <t>La linea que me dieron no corresponde a mi historial. Pedi explicacion y no me la dieron.</t>
        </is>
      </c>
      <c r="K90" s="4" t="inlineStr">
        <is>
          <t>4 intentos. Errores: 2 captura, 0 incompletos, 0 ilegibles. Ventana de captura 43 dias. Estatus: Authorized. Sucursal 676.</t>
        </is>
      </c>
    </row>
    <row r="91">
      <c r="A91" s="4" t="inlineStr">
        <is>
          <t>C-087</t>
        </is>
      </c>
      <c r="B91" s="4" t="n">
        <v>277</v>
      </c>
      <c r="C91" s="4" t="inlineStr">
        <is>
          <t>Chiapas</t>
        </is>
      </c>
      <c r="D91" s="4" t="n">
        <v>352</v>
      </c>
      <c r="E91" s="4" t="n">
        <v>1</v>
      </c>
      <c r="F91" s="4" t="inlineStr">
        <is>
          <t>Queja escrita</t>
        </is>
      </c>
      <c r="G91" s="4" t="inlineStr">
        <is>
          <t>2014-05-21</t>
        </is>
      </c>
      <c r="H91" s="4" t="inlineStr">
        <is>
          <t>Monto de linea</t>
        </is>
      </c>
      <c r="I91" s="4" t="inlineStr"/>
      <c r="J91" s="4" t="inlineStr">
        <is>
          <t>1 rondas de documentos para que al final me autorizaran 28,000 pesos. No valio la pena el tramite.</t>
        </is>
      </c>
      <c r="K91" s="4" t="inlineStr">
        <is>
          <t>1 intentos. Errores: 0 captura, 0 incompletos, 0 ilegibles. Ventana de captura 0 dias. Estatus: Card Sent. Sucursal 352.</t>
        </is>
      </c>
    </row>
    <row r="92">
      <c r="A92" s="4" t="inlineStr">
        <is>
          <t>C-088</t>
        </is>
      </c>
      <c r="B92" s="4" t="n">
        <v>257</v>
      </c>
      <c r="C92" s="4" t="inlineStr">
        <is>
          <t>D.F.</t>
        </is>
      </c>
      <c r="D92" s="4" t="n">
        <v>676</v>
      </c>
      <c r="E92" s="4" t="n">
        <v>3</v>
      </c>
      <c r="F92" s="4" t="inlineStr">
        <is>
          <t>Llamada a call center</t>
        </is>
      </c>
      <c r="G92" s="4" t="inlineStr">
        <is>
          <t>2014-09-15</t>
        </is>
      </c>
      <c r="H92" s="4" t="inlineStr">
        <is>
          <t>Monto de linea</t>
        </is>
      </c>
      <c r="I92" s="4" t="inlineStr">
        <is>
          <t>Caso atorado</t>
        </is>
      </c>
      <c r="J92" s="4" t="inlineStr">
        <is>
          <t>Me aprobaron 31,400 pesos. Es la linea mas baja que me han ofrecido y ni me dijeron como la calcularon.</t>
        </is>
      </c>
      <c r="K92" s="4" t="inlineStr">
        <is>
          <t>3 intentos. Errores: 1 captura, 0 incompletos, 1 ilegibles. Ventana de captura 29 dias. Estatus: Authorized. Sucursal 676.</t>
        </is>
      </c>
    </row>
    <row r="93">
      <c r="A93" s="4" t="inlineStr">
        <is>
          <t>C-089</t>
        </is>
      </c>
      <c r="B93" s="4" t="n">
        <v>1443</v>
      </c>
      <c r="C93" s="4" t="inlineStr">
        <is>
          <t>Edo Mex</t>
        </is>
      </c>
      <c r="D93" s="4" t="n">
        <v>692</v>
      </c>
      <c r="E93" s="4" t="n">
        <v>2</v>
      </c>
      <c r="F93" s="4" t="inlineStr">
        <is>
          <t>Encuesta post-venta</t>
        </is>
      </c>
      <c r="G93" s="4" t="inlineStr">
        <is>
          <t>2014-09-12</t>
        </is>
      </c>
      <c r="H93" s="4" t="inlineStr">
        <is>
          <t>Monto de linea</t>
        </is>
      </c>
      <c r="I93" s="4" t="inlineStr"/>
      <c r="J93" s="4" t="inlineStr">
        <is>
          <t>2 rondas de documentos para que al final me autorizaran 31,700 pesos. No valio la pena el tramite.</t>
        </is>
      </c>
      <c r="K93" s="4" t="inlineStr">
        <is>
          <t>2 intentos. Errores: 0 captura, 1 incompletos, 0 ilegibles. Ventana de captura 16 dias. Estatus: Card Sent. Sucursal 692.</t>
        </is>
      </c>
    </row>
    <row r="94">
      <c r="A94" s="4" t="inlineStr">
        <is>
          <t>C-090</t>
        </is>
      </c>
      <c r="B94" s="4" t="n">
        <v>1350</v>
      </c>
      <c r="C94" s="4" t="inlineStr">
        <is>
          <t>Sinaloa</t>
        </is>
      </c>
      <c r="D94" s="4" t="n">
        <v>440</v>
      </c>
      <c r="E94" s="4" t="n">
        <v>2</v>
      </c>
      <c r="F94" s="4" t="inlineStr">
        <is>
          <t>Encuesta post-venta</t>
        </is>
      </c>
      <c r="G94" s="4" t="inlineStr">
        <is>
          <t>2015-03-02</t>
        </is>
      </c>
      <c r="H94" s="4" t="inlineStr">
        <is>
          <t>Monto de linea</t>
        </is>
      </c>
      <c r="I94" s="4" t="inlineStr">
        <is>
          <t>Caso atorado</t>
        </is>
      </c>
      <c r="J94" s="4" t="inlineStr">
        <is>
          <t>La linea que me dieron no corresponde a mi historial. Pedi explicacion y no me la dieron.</t>
        </is>
      </c>
      <c r="K94" s="4" t="inlineStr">
        <is>
          <t>2 intentos. Errores: 0 captura, 1 incompletos, 0 ilegibles. Ventana de captura 16 dias. Estatus: Authorized. Sucursal 440.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7" customWidth="1" min="3" max="3"/>
    <col width="15" customWidth="1" min="4" max="4"/>
  </cols>
  <sheetData>
    <row r="1">
      <c r="A1" s="1" t="inlineStr">
        <is>
          <t>Pareto de quejas por categoria primaria</t>
        </is>
      </c>
    </row>
    <row r="2">
      <c r="A2" s="2" t="inlineStr">
        <is>
          <t>Los conteos se calculan con COUNTIF sobre la hoja Comentarios. Si agregas filas alla, extiende los rangos.</t>
        </is>
      </c>
    </row>
    <row r="4">
      <c r="A4" s="5" t="inlineStr">
        <is>
          <t>Categoria</t>
        </is>
      </c>
      <c r="B4" s="5" t="inlineStr">
        <is>
          <t>Incidencias</t>
        </is>
      </c>
      <c r="C4" s="5" t="inlineStr">
        <is>
          <t>% de incidencias</t>
        </is>
      </c>
      <c r="D4" s="5" t="inlineStr">
        <is>
          <t>% acumulado</t>
        </is>
      </c>
    </row>
    <row r="5">
      <c r="A5" s="6" t="inlineStr">
        <is>
          <t>Reproceso documental</t>
        </is>
      </c>
      <c r="B5" s="6">
        <f>COUNTIF(Comentarios!$H$5:$H$94,A5)</f>
        <v/>
      </c>
      <c r="C5" s="7">
        <f>IFERROR(B5/$B$11,0)</f>
        <v/>
      </c>
      <c r="D5" s="7">
        <f>C5</f>
        <v/>
      </c>
    </row>
    <row r="6">
      <c r="A6" s="6" t="inlineStr">
        <is>
          <t>Error de captura</t>
        </is>
      </c>
      <c r="B6" s="6">
        <f>COUNTIF(Comentarios!$H$5:$H$94,A6)</f>
        <v/>
      </c>
      <c r="C6" s="7">
        <f>IFERROR(B6/$B$11,0)</f>
        <v/>
      </c>
      <c r="D6" s="7">
        <f>D5+C6</f>
        <v/>
      </c>
    </row>
    <row r="7">
      <c r="A7" s="6" t="inlineStr">
        <is>
          <t>Caso atorado</t>
        </is>
      </c>
      <c r="B7" s="6">
        <f>COUNTIF(Comentarios!$H$5:$H$94,A7)</f>
        <v/>
      </c>
      <c r="C7" s="7">
        <f>IFERROR(B7/$B$11,0)</f>
        <v/>
      </c>
      <c r="D7" s="7">
        <f>D6+C7</f>
        <v/>
      </c>
    </row>
    <row r="8">
      <c r="A8" s="6" t="inlineStr">
        <is>
          <t>Tiempo de ciclo</t>
        </is>
      </c>
      <c r="B8" s="6">
        <f>COUNTIF(Comentarios!$H$5:$H$94,A8)</f>
        <v/>
      </c>
      <c r="C8" s="7">
        <f>IFERROR(B8/$B$11,0)</f>
        <v/>
      </c>
      <c r="D8" s="7">
        <f>D7+C8</f>
        <v/>
      </c>
    </row>
    <row r="9">
      <c r="A9" s="6" t="inlineStr">
        <is>
          <t>Rechazo</t>
        </is>
      </c>
      <c r="B9" s="6">
        <f>COUNTIF(Comentarios!$H$5:$H$94,A9)</f>
        <v/>
      </c>
      <c r="C9" s="7">
        <f>IFERROR(B9/$B$11,0)</f>
        <v/>
      </c>
      <c r="D9" s="7">
        <f>D8+C9</f>
        <v/>
      </c>
    </row>
    <row r="10">
      <c r="A10" s="6" t="inlineStr">
        <is>
          <t>Monto de linea</t>
        </is>
      </c>
      <c r="B10" s="6">
        <f>COUNTIF(Comentarios!$H$5:$H$94,A10)</f>
        <v/>
      </c>
      <c r="C10" s="7">
        <f>IFERROR(B10/$B$11,0)</f>
        <v/>
      </c>
      <c r="D10" s="7">
        <f>D9+C10</f>
        <v/>
      </c>
    </row>
    <row r="11">
      <c r="A11" s="8" t="inlineStr">
        <is>
          <t>Total</t>
        </is>
      </c>
      <c r="B11" s="6">
        <f>SUM(B5:B10)</f>
        <v/>
      </c>
      <c r="C11" s="7" t="n"/>
      <c r="D11" s="7" t="n"/>
    </row>
    <row r="13">
      <c r="A13" s="2" t="inlineStr">
        <is>
          <t>Nota didactica: 'Error de captura' es un subtipo de reproceso. Si el equipo los agrupa, el reproceso documental explica cerca de 6 de cada 10 quejas. Decidir si se agrupan es parte del ejercicio.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s="1" t="inlineStr">
        <is>
          <t>Como usar y ampliar esta base</t>
        </is>
      </c>
    </row>
    <row r="3">
      <c r="A3" s="8" t="inlineStr">
        <is>
          <t>Vocabulario permitido</t>
        </is>
      </c>
      <c r="B3" s="4" t="inlineStr">
        <is>
          <t>La base R2 solo registra tres tipos de error: input error (error de captura), incomplete documents e illegible document. Cualquier comentario nuevo debe usar solo estos tres, o hablar de tiempo, rechazo, monto de linea o caso atorado.</t>
        </is>
      </c>
    </row>
    <row r="4">
      <c r="A4" s="8" t="inlineStr">
        <is>
          <t>Consistencia obligatoria</t>
        </is>
      </c>
      <c r="B4" s="4" t="inlineStr">
        <is>
          <t>Antes de agregar un comentario, verifica en MX CAMPUS que el numero de solicitud tenga los intentos, el estatus, la linea y las fechas que el comentario insinua. Un comentario que contradiga la base rompe el ejercicio.</t>
        </is>
      </c>
    </row>
    <row r="5">
      <c r="A5" s="8" t="inlineStr">
        <is>
          <t>Cuidado con el plastico</t>
        </is>
      </c>
      <c r="B5" s="4" t="inlineStr">
        <is>
          <t>Los casos de 4 o mas intentos rara vez tienen fecha de envio de plastico. Esos clientes siguen esperando; no digas que la tarjeta llego tarde.</t>
        </is>
      </c>
    </row>
    <row r="6">
      <c r="A6" s="8" t="inlineStr">
        <is>
          <t>Distractores</t>
        </is>
      </c>
      <c r="B6" s="4" t="inlineStr">
        <is>
          <t>Los comentarios de rechazo y de monto de linea sirven para que el equipo tenga que separar senal de ruido al cruzar quejas contra intentos y dias.</t>
        </is>
      </c>
    </row>
    <row r="7">
      <c r="A7" s="8" t="inlineStr">
        <is>
          <t>Quiebre de nivel</t>
        </is>
      </c>
      <c r="B7" s="4" t="inlineStr">
        <is>
          <t>A partir del mes 10 de la serie entro el modulo de captacion digital y la tasa de reproceso subio unos 12 puntos. El diagrama de corrida es la unica herramienta que lo revela; el Pareto agregado lo esconde.</t>
        </is>
      </c>
    </row>
    <row r="8">
      <c r="A8" s="8" t="inlineStr">
        <is>
          <t>Celdas editables</t>
        </is>
      </c>
      <c r="B8" s="4" t="inlineStr">
        <is>
          <t>Escribe solo en la hoja Comentarios, de la fila 5 a la 94 y siguientes. La hoja Resumen Pareto se calcula sola.</t>
        </is>
      </c>
    </row>
    <row r="9">
      <c r="A9" s="8" t="inlineStr">
        <is>
          <t>Ejemplo de formato</t>
        </is>
      </c>
      <c r="B9" s="4" t="inlineStr">
        <is>
          <t>C-091 | 412 | D.F. | 676 | 3 | Queja escrita | 2015-04-18 | Reproceso documental | Tiempo de ciclo | 'Tres visitas, tres listas distintas.' | 3 intentos. Errores: 1 captura, 2 incompletos. Ventana 41 dias.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2026-08-25T22:48:00Z</dcterms:created>
  <dcterms:modified xmlns:dcterms="http://purl.org/dc/terms/" xmlns:xsi="http://www.w3.org/2001/XMLSchema-instance" xsi:type="dcterms:W3CDTF">2026-08-25T22:48:00Z</dcterms:modified>
</cp:coreProperties>
</file>